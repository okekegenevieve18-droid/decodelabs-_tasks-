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79B7C24-5F5E-4FA7-A6B5-56D9FEB31E0F}" xr6:coauthVersionLast="47" xr6:coauthVersionMax="47" xr10:uidLastSave="{00000000-0000-0000-0000-000000000000}"/>
  <bookViews>
    <workbookView xWindow="-120" yWindow="-120" windowWidth="20730" windowHeight="11040" xr2:uid="{25EB1890-0AA2-4E69-9F8F-4A8215C4F753}"/>
  </bookViews>
  <sheets>
    <sheet name="DATASET" sheetId="2" r:id="rId1"/>
    <sheet name="EDA_Summary" sheetId="4" r:id="rId2"/>
    <sheet name="PIVOT TABLES" sheetId="1" r:id="rId3"/>
  </sheets>
  <definedNames>
    <definedName name="_xlchart.v1.0" hidden="1">DATASET!$N$2:$N$1201</definedName>
    <definedName name="_xlchart.v1.1" hidden="1">DATASET!$N$2:$N$1201</definedName>
    <definedName name="_xlchart.v1.2" hidden="1">DATASET!$N$2:$N$1201</definedName>
    <definedName name="_xlcn.WorksheetConnection_Book2Sheet11" hidden="1">Sheet1[]</definedName>
    <definedName name="ExternalData_1" localSheetId="0" hidden="1">DATASET!$A$1:$N$1201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  <pivotCache cacheId="6" r:id="rId10"/>
    <pivotCache cacheId="7" r:id="rId11"/>
    <pivotCache cacheId="8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" name="Sheet1" connection="WorksheetConnection_Book2!Sheet1"/>
        </x15:modelTables>
        <x15:extLst>
          <ext xmlns:x16="http://schemas.microsoft.com/office/spreadsheetml/2014/11/main" uri="{9835A34E-60A6-4A7C-AAB8-D5F71C897F49}">
            <x16:modelTimeGroupings>
              <x16:modelTimeGrouping tableName="Sheet1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7" i="4"/>
  <c r="B3" i="4"/>
  <c r="B6" i="4"/>
  <c r="B4" i="4"/>
  <c r="B5" i="4"/>
  <c r="J23" i="1"/>
  <c r="J24" i="1"/>
  <c r="J25" i="1"/>
  <c r="J26" i="1"/>
  <c r="J27" i="1"/>
  <c r="B13" i="4" l="1"/>
  <c r="B14" i="4" s="1"/>
  <c r="B15" i="4" l="1"/>
  <c r="O62" i="2" s="1"/>
  <c r="O1191" i="2" l="1"/>
  <c r="O1105" i="2"/>
  <c r="O914" i="2"/>
  <c r="O1020" i="2"/>
  <c r="O985" i="2"/>
  <c r="O657" i="2"/>
  <c r="O420" i="2"/>
  <c r="O618" i="2"/>
  <c r="O1050" i="2"/>
  <c r="O1014" i="2"/>
  <c r="O675" i="2"/>
  <c r="O1025" i="2"/>
  <c r="O834" i="2"/>
  <c r="O592" i="2"/>
  <c r="O886" i="2"/>
  <c r="O892" i="2"/>
  <c r="O499" i="2"/>
  <c r="O1193" i="2"/>
  <c r="O945" i="2"/>
  <c r="O1158" i="2"/>
  <c r="O368" i="2"/>
  <c r="O1186" i="2"/>
  <c r="O873" i="2"/>
  <c r="O1188" i="2"/>
  <c r="O758" i="2"/>
  <c r="O765" i="2"/>
  <c r="O764" i="2"/>
  <c r="O931" i="2"/>
  <c r="O558" i="2"/>
  <c r="O299" i="2"/>
  <c r="O385" i="2"/>
  <c r="O257" i="2"/>
  <c r="O698" i="2"/>
  <c r="O463" i="2"/>
  <c r="O1021" i="2"/>
  <c r="O1059" i="2"/>
  <c r="O216" i="2"/>
  <c r="O1153" i="2"/>
  <c r="O778" i="2"/>
  <c r="O1118" i="2"/>
  <c r="O1133" i="2"/>
  <c r="O1090" i="2"/>
  <c r="O785" i="2"/>
  <c r="O1124" i="2"/>
  <c r="O630" i="2"/>
  <c r="O423" i="2"/>
  <c r="O636" i="2"/>
  <c r="O803" i="2"/>
  <c r="O185" i="2"/>
  <c r="O43" i="2"/>
  <c r="O1185" i="2"/>
  <c r="O1089" i="2"/>
  <c r="O906" i="2"/>
  <c r="O576" i="2"/>
  <c r="O1150" i="2"/>
  <c r="O1018" i="2"/>
  <c r="O802" i="2"/>
  <c r="O193" i="2"/>
  <c r="O1117" i="2"/>
  <c r="O969" i="2"/>
  <c r="O666" i="2"/>
  <c r="O1170" i="2"/>
  <c r="O1074" i="2"/>
  <c r="O882" i="2"/>
  <c r="O464" i="2"/>
  <c r="O865" i="2"/>
  <c r="O777" i="2"/>
  <c r="O649" i="2"/>
  <c r="O447" i="2"/>
  <c r="O1184" i="2"/>
  <c r="O1120" i="2"/>
  <c r="O1006" i="2"/>
  <c r="O878" i="2"/>
  <c r="O750" i="2"/>
  <c r="O622" i="2"/>
  <c r="O1187" i="2"/>
  <c r="O1013" i="2"/>
  <c r="O757" i="2"/>
  <c r="O407" i="2"/>
  <c r="O1016" i="2"/>
  <c r="O888" i="2"/>
  <c r="O760" i="2"/>
  <c r="O632" i="2"/>
  <c r="O412" i="2"/>
  <c r="O1055" i="2"/>
  <c r="O927" i="2"/>
  <c r="O799" i="2"/>
  <c r="O671" i="2"/>
  <c r="O491" i="2"/>
  <c r="O542" i="2"/>
  <c r="O121" i="2"/>
  <c r="O369" i="2"/>
  <c r="O200" i="2"/>
  <c r="O283" i="2"/>
  <c r="O27" i="2"/>
  <c r="O954" i="2"/>
  <c r="O674" i="2"/>
  <c r="O1173" i="2"/>
  <c r="O1065" i="2"/>
  <c r="O890" i="2"/>
  <c r="O480" i="2"/>
  <c r="O1138" i="2"/>
  <c r="O1010" i="2"/>
  <c r="O754" i="2"/>
  <c r="O913" i="2"/>
  <c r="O833" i="2"/>
  <c r="O721" i="2"/>
  <c r="O591" i="2"/>
  <c r="O317" i="2"/>
  <c r="O1156" i="2"/>
  <c r="O1078" i="2"/>
  <c r="O950" i="2"/>
  <c r="O822" i="2"/>
  <c r="O694" i="2"/>
  <c r="O472" i="2"/>
  <c r="O1127" i="2"/>
  <c r="O893" i="2"/>
  <c r="O637" i="2"/>
  <c r="O1084" i="2"/>
  <c r="O956" i="2"/>
  <c r="O828" i="2"/>
  <c r="O700" i="2"/>
  <c r="O548" i="2"/>
  <c r="O145" i="2"/>
  <c r="O995" i="2"/>
  <c r="O867" i="2"/>
  <c r="O739" i="2"/>
  <c r="O611" i="2"/>
  <c r="O371" i="2"/>
  <c r="O430" i="2"/>
  <c r="O513" i="2"/>
  <c r="O5" i="2"/>
  <c r="O88" i="2"/>
  <c r="O171" i="2"/>
  <c r="O254" i="2"/>
  <c r="O1137" i="2"/>
  <c r="O1009" i="2"/>
  <c r="O746" i="2"/>
  <c r="O1190" i="2"/>
  <c r="O1110" i="2"/>
  <c r="O938" i="2"/>
  <c r="O610" i="2"/>
  <c r="O1165" i="2"/>
  <c r="O1049" i="2"/>
  <c r="O826" i="2"/>
  <c r="O416" i="2"/>
  <c r="O1130" i="2"/>
  <c r="O978" i="2"/>
  <c r="O722" i="2"/>
  <c r="O905" i="2"/>
  <c r="O817" i="2"/>
  <c r="O713" i="2"/>
  <c r="O575" i="2"/>
  <c r="O253" i="2"/>
  <c r="O1152" i="2"/>
  <c r="O1070" i="2"/>
  <c r="O942" i="2"/>
  <c r="O814" i="2"/>
  <c r="O686" i="2"/>
  <c r="O456" i="2"/>
  <c r="O1123" i="2"/>
  <c r="O885" i="2"/>
  <c r="O629" i="2"/>
  <c r="O1080" i="2"/>
  <c r="O952" i="2"/>
  <c r="O824" i="2"/>
  <c r="O696" i="2"/>
  <c r="O540" i="2"/>
  <c r="O113" i="2"/>
  <c r="O991" i="2"/>
  <c r="O863" i="2"/>
  <c r="O735" i="2"/>
  <c r="O607" i="2"/>
  <c r="O363" i="2"/>
  <c r="O414" i="2"/>
  <c r="O497" i="2"/>
  <c r="O328" i="2"/>
  <c r="O72" i="2"/>
  <c r="O155" i="2"/>
  <c r="O126" i="2"/>
  <c r="O238" i="2"/>
  <c r="O110" i="2"/>
  <c r="O1169" i="2"/>
  <c r="O1073" i="2"/>
  <c r="O874" i="2"/>
  <c r="O714" i="2"/>
  <c r="O448" i="2"/>
  <c r="O1182" i="2"/>
  <c r="O1142" i="2"/>
  <c r="O1082" i="2"/>
  <c r="O1002" i="2"/>
  <c r="O922" i="2"/>
  <c r="O738" i="2"/>
  <c r="O560" i="2"/>
  <c r="O1197" i="2"/>
  <c r="O1149" i="2"/>
  <c r="O1109" i="2"/>
  <c r="O1033" i="2"/>
  <c r="O937" i="2"/>
  <c r="O794" i="2"/>
  <c r="O634" i="2"/>
  <c r="O129" i="2"/>
  <c r="O1162" i="2"/>
  <c r="O1122" i="2"/>
  <c r="O1042" i="2"/>
  <c r="O962" i="2"/>
  <c r="O850" i="2"/>
  <c r="O658" i="2"/>
  <c r="O400" i="2"/>
  <c r="O897" i="2"/>
  <c r="O849" i="2"/>
  <c r="O809" i="2"/>
  <c r="O753" i="2"/>
  <c r="O689" i="2"/>
  <c r="O625" i="2"/>
  <c r="O527" i="2"/>
  <c r="O399" i="2"/>
  <c r="O61" i="2"/>
  <c r="O1172" i="2"/>
  <c r="O1140" i="2"/>
  <c r="O1108" i="2"/>
  <c r="O1046" i="2"/>
  <c r="O982" i="2"/>
  <c r="O918" i="2"/>
  <c r="O854" i="2"/>
  <c r="O790" i="2"/>
  <c r="O726" i="2"/>
  <c r="O662" i="2"/>
  <c r="O598" i="2"/>
  <c r="O344" i="2"/>
  <c r="O1159" i="2"/>
  <c r="O1085" i="2"/>
  <c r="O957" i="2"/>
  <c r="O829" i="2"/>
  <c r="O701" i="2"/>
  <c r="O551" i="2"/>
  <c r="O157" i="2"/>
  <c r="O1052" i="2"/>
  <c r="O988" i="2"/>
  <c r="O924" i="2"/>
  <c r="O860" i="2"/>
  <c r="O796" i="2"/>
  <c r="O732" i="2"/>
  <c r="O668" i="2"/>
  <c r="O604" i="2"/>
  <c r="O484" i="2"/>
  <c r="O356" i="2"/>
  <c r="O1091" i="2"/>
  <c r="O1027" i="2"/>
  <c r="O963" i="2"/>
  <c r="O899" i="2"/>
  <c r="O835" i="2"/>
  <c r="O771" i="2"/>
  <c r="O707" i="2"/>
  <c r="O643" i="2"/>
  <c r="O563" i="2"/>
  <c r="O435" i="2"/>
  <c r="O205" i="2"/>
  <c r="O494" i="2"/>
  <c r="O366" i="2"/>
  <c r="O577" i="2"/>
  <c r="O449" i="2"/>
  <c r="O261" i="2"/>
  <c r="O280" i="2"/>
  <c r="O152" i="2"/>
  <c r="O24" i="2"/>
  <c r="O235" i="2"/>
  <c r="O107" i="2"/>
  <c r="O318" i="2"/>
  <c r="O190" i="2"/>
  <c r="O2" i="2"/>
  <c r="O14" i="2"/>
  <c r="O78" i="2"/>
  <c r="O142" i="2"/>
  <c r="O206" i="2"/>
  <c r="O270" i="2"/>
  <c r="O334" i="2"/>
  <c r="O59" i="2"/>
  <c r="O123" i="2"/>
  <c r="O187" i="2"/>
  <c r="O251" i="2"/>
  <c r="O315" i="2"/>
  <c r="O40" i="2"/>
  <c r="O104" i="2"/>
  <c r="O168" i="2"/>
  <c r="O232" i="2"/>
  <c r="O296" i="2"/>
  <c r="O69" i="2"/>
  <c r="O325" i="2"/>
  <c r="O401" i="2"/>
  <c r="O465" i="2"/>
  <c r="O529" i="2"/>
  <c r="O593" i="2"/>
  <c r="O249" i="2"/>
  <c r="O382" i="2"/>
  <c r="O446" i="2"/>
  <c r="O510" i="2"/>
  <c r="O574" i="2"/>
  <c r="O301" i="2"/>
  <c r="O395" i="2"/>
  <c r="O459" i="2"/>
  <c r="O523" i="2"/>
  <c r="O587" i="2"/>
  <c r="O623" i="2"/>
  <c r="O655" i="2"/>
  <c r="O687" i="2"/>
  <c r="O719" i="2"/>
  <c r="O751" i="2"/>
  <c r="O783" i="2"/>
  <c r="O815" i="2"/>
  <c r="O847" i="2"/>
  <c r="O879" i="2"/>
  <c r="O911" i="2"/>
  <c r="O943" i="2"/>
  <c r="O975" i="2"/>
  <c r="O1007" i="2"/>
  <c r="O1039" i="2"/>
  <c r="O1071" i="2"/>
  <c r="O1103" i="2"/>
  <c r="O241" i="2"/>
  <c r="O380" i="2"/>
  <c r="O444" i="2"/>
  <c r="O508" i="2"/>
  <c r="O572" i="2"/>
  <c r="O616" i="2"/>
  <c r="O648" i="2"/>
  <c r="O680" i="2"/>
  <c r="O712" i="2"/>
  <c r="O744" i="2"/>
  <c r="O776" i="2"/>
  <c r="O808" i="2"/>
  <c r="O840" i="2"/>
  <c r="O872" i="2"/>
  <c r="O904" i="2"/>
  <c r="O936" i="2"/>
  <c r="O968" i="2"/>
  <c r="O1000" i="2"/>
  <c r="O1032" i="2"/>
  <c r="O1064" i="2"/>
  <c r="O1096" i="2"/>
  <c r="O343" i="2"/>
  <c r="O471" i="2"/>
  <c r="O597" i="2"/>
  <c r="O661" i="2"/>
  <c r="O725" i="2"/>
  <c r="O789" i="2"/>
  <c r="O853" i="2"/>
  <c r="O917" i="2"/>
  <c r="O981" i="2"/>
  <c r="O1045" i="2"/>
  <c r="O1107" i="2"/>
  <c r="O1139" i="2"/>
  <c r="O1171" i="2"/>
  <c r="O33" i="2"/>
  <c r="O392" i="2"/>
  <c r="O520" i="2"/>
  <c r="O30" i="2"/>
  <c r="O94" i="2"/>
  <c r="O158" i="2"/>
  <c r="O222" i="2"/>
  <c r="O286" i="2"/>
  <c r="O11" i="2"/>
  <c r="O75" i="2"/>
  <c r="O139" i="2"/>
  <c r="O203" i="2"/>
  <c r="O267" i="2"/>
  <c r="O331" i="2"/>
  <c r="O56" i="2"/>
  <c r="O120" i="2"/>
  <c r="O184" i="2"/>
  <c r="O248" i="2"/>
  <c r="O312" i="2"/>
  <c r="O133" i="2"/>
  <c r="O353" i="2"/>
  <c r="O417" i="2"/>
  <c r="O481" i="2"/>
  <c r="O545" i="2"/>
  <c r="O57" i="2"/>
  <c r="O313" i="2"/>
  <c r="O398" i="2"/>
  <c r="O462" i="2"/>
  <c r="O526" i="2"/>
  <c r="O590" i="2"/>
  <c r="O333" i="2"/>
  <c r="O403" i="2"/>
  <c r="O467" i="2"/>
  <c r="O531" i="2"/>
  <c r="O595" i="2"/>
  <c r="O627" i="2"/>
  <c r="O659" i="2"/>
  <c r="O691" i="2"/>
  <c r="O723" i="2"/>
  <c r="O755" i="2"/>
  <c r="O787" i="2"/>
  <c r="O819" i="2"/>
  <c r="O851" i="2"/>
  <c r="O883" i="2"/>
  <c r="O915" i="2"/>
  <c r="O947" i="2"/>
  <c r="O979" i="2"/>
  <c r="O1011" i="2"/>
  <c r="O1043" i="2"/>
  <c r="O1075" i="2"/>
  <c r="O17" i="2"/>
  <c r="O273" i="2"/>
  <c r="O388" i="2"/>
  <c r="O452" i="2"/>
  <c r="O516" i="2"/>
  <c r="O580" i="2"/>
  <c r="O620" i="2"/>
  <c r="O652" i="2"/>
  <c r="O684" i="2"/>
  <c r="O716" i="2"/>
  <c r="O748" i="2"/>
  <c r="O780" i="2"/>
  <c r="O812" i="2"/>
  <c r="O844" i="2"/>
  <c r="O876" i="2"/>
  <c r="O908" i="2"/>
  <c r="O940" i="2"/>
  <c r="O972" i="2"/>
  <c r="O1004" i="2"/>
  <c r="O1036" i="2"/>
  <c r="O1068" i="2"/>
  <c r="O1100" i="2"/>
  <c r="O359" i="2"/>
  <c r="O487" i="2"/>
  <c r="O605" i="2"/>
  <c r="O669" i="2"/>
  <c r="O733" i="2"/>
  <c r="O797" i="2"/>
  <c r="O861" i="2"/>
  <c r="O925" i="2"/>
  <c r="O989" i="2"/>
  <c r="O1053" i="2"/>
  <c r="O1111" i="2"/>
  <c r="O1143" i="2"/>
  <c r="O1175" i="2"/>
  <c r="O97" i="2"/>
  <c r="O408" i="2"/>
  <c r="O536" i="2"/>
  <c r="O1129" i="2"/>
  <c r="O977" i="2"/>
  <c r="O1201" i="2"/>
  <c r="O1161" i="2"/>
  <c r="O1121" i="2"/>
  <c r="O1041" i="2"/>
  <c r="O961" i="2"/>
  <c r="O842" i="2"/>
  <c r="O650" i="2"/>
  <c r="O384" i="2"/>
  <c r="O1174" i="2"/>
  <c r="O1126" i="2"/>
  <c r="O1066" i="2"/>
  <c r="O986" i="2"/>
  <c r="O866" i="2"/>
  <c r="O706" i="2"/>
  <c r="O496" i="2"/>
  <c r="O1181" i="2"/>
  <c r="O1141" i="2"/>
  <c r="O1097" i="2"/>
  <c r="O1001" i="2"/>
  <c r="O921" i="2"/>
  <c r="O762" i="2"/>
  <c r="O544" i="2"/>
  <c r="O1194" i="2"/>
  <c r="O1154" i="2"/>
  <c r="O1106" i="2"/>
  <c r="O1026" i="2"/>
  <c r="O946" i="2"/>
  <c r="O786" i="2"/>
  <c r="O626" i="2"/>
  <c r="O321" i="2"/>
  <c r="O881" i="2"/>
  <c r="O841" i="2"/>
  <c r="O801" i="2"/>
  <c r="O745" i="2"/>
  <c r="O681" i="2"/>
  <c r="O617" i="2"/>
  <c r="O511" i="2"/>
  <c r="O383" i="2"/>
  <c r="O1200" i="2"/>
  <c r="O1168" i="2"/>
  <c r="O1136" i="2"/>
  <c r="O1102" i="2"/>
  <c r="O1038" i="2"/>
  <c r="O974" i="2"/>
  <c r="O910" i="2"/>
  <c r="O846" i="2"/>
  <c r="O782" i="2"/>
  <c r="O718" i="2"/>
  <c r="O654" i="2"/>
  <c r="O584" i="2"/>
  <c r="O289" i="2"/>
  <c r="O1155" i="2"/>
  <c r="O1077" i="2"/>
  <c r="O949" i="2"/>
  <c r="O821" i="2"/>
  <c r="O693" i="2"/>
  <c r="O535" i="2"/>
  <c r="O93" i="2"/>
  <c r="O1048" i="2"/>
  <c r="O984" i="2"/>
  <c r="O920" i="2"/>
  <c r="O856" i="2"/>
  <c r="O792" i="2"/>
  <c r="O728" i="2"/>
  <c r="O664" i="2"/>
  <c r="O600" i="2"/>
  <c r="O476" i="2"/>
  <c r="O348" i="2"/>
  <c r="O1087" i="2"/>
  <c r="O1023" i="2"/>
  <c r="O959" i="2"/>
  <c r="O895" i="2"/>
  <c r="O831" i="2"/>
  <c r="O767" i="2"/>
  <c r="O703" i="2"/>
  <c r="O639" i="2"/>
  <c r="O555" i="2"/>
  <c r="O427" i="2"/>
  <c r="O77" i="2"/>
  <c r="O478" i="2"/>
  <c r="O350" i="2"/>
  <c r="O561" i="2"/>
  <c r="O433" i="2"/>
  <c r="O197" i="2"/>
  <c r="O264" i="2"/>
  <c r="O136" i="2"/>
  <c r="O8" i="2"/>
  <c r="O219" i="2"/>
  <c r="O91" i="2"/>
  <c r="O302" i="2"/>
  <c r="O174" i="2"/>
  <c r="O46" i="2"/>
  <c r="O173" i="2"/>
  <c r="O45" i="2"/>
  <c r="O586" i="2"/>
  <c r="O570" i="2"/>
  <c r="O554" i="2"/>
  <c r="O538" i="2"/>
  <c r="O522" i="2"/>
  <c r="O506" i="2"/>
  <c r="O490" i="2"/>
  <c r="O474" i="2"/>
  <c r="O458" i="2"/>
  <c r="O442" i="2"/>
  <c r="O426" i="2"/>
  <c r="O410" i="2"/>
  <c r="O394" i="2"/>
  <c r="O378" i="2"/>
  <c r="O362" i="2"/>
  <c r="O346" i="2"/>
  <c r="O297" i="2"/>
  <c r="O233" i="2"/>
  <c r="O169" i="2"/>
  <c r="O105" i="2"/>
  <c r="O41" i="2"/>
  <c r="O589" i="2"/>
  <c r="O573" i="2"/>
  <c r="O557" i="2"/>
  <c r="O541" i="2"/>
  <c r="O525" i="2"/>
  <c r="O509" i="2"/>
  <c r="O493" i="2"/>
  <c r="O477" i="2"/>
  <c r="O461" i="2"/>
  <c r="O445" i="2"/>
  <c r="O429" i="2"/>
  <c r="O413" i="2"/>
  <c r="O397" i="2"/>
  <c r="O381" i="2"/>
  <c r="O365" i="2"/>
  <c r="O349" i="2"/>
  <c r="O309" i="2"/>
  <c r="O245" i="2"/>
  <c r="O181" i="2"/>
  <c r="O117" i="2"/>
  <c r="O53" i="2"/>
  <c r="O340" i="2"/>
  <c r="O324" i="2"/>
  <c r="O308" i="2"/>
  <c r="O292" i="2"/>
  <c r="O276" i="2"/>
  <c r="O260" i="2"/>
  <c r="O244" i="2"/>
  <c r="O228" i="2"/>
  <c r="O212" i="2"/>
  <c r="O196" i="2"/>
  <c r="O180" i="2"/>
  <c r="O164" i="2"/>
  <c r="O148" i="2"/>
  <c r="O132" i="2"/>
  <c r="O116" i="2"/>
  <c r="O100" i="2"/>
  <c r="O84" i="2"/>
  <c r="O68" i="2"/>
  <c r="O52" i="2"/>
  <c r="O36" i="2"/>
  <c r="O20" i="2"/>
  <c r="O4" i="2"/>
  <c r="O327" i="2"/>
  <c r="O311" i="2"/>
  <c r="O295" i="2"/>
  <c r="O279" i="2"/>
  <c r="O263" i="2"/>
  <c r="O247" i="2"/>
  <c r="O231" i="2"/>
  <c r="O215" i="2"/>
  <c r="O199" i="2"/>
  <c r="O183" i="2"/>
  <c r="O167" i="2"/>
  <c r="O151" i="2"/>
  <c r="O135" i="2"/>
  <c r="O119" i="2"/>
  <c r="O103" i="2"/>
  <c r="O87" i="2"/>
  <c r="O71" i="2"/>
  <c r="O55" i="2"/>
  <c r="O39" i="2"/>
  <c r="O23" i="2"/>
  <c r="O7" i="2"/>
  <c r="O330" i="2"/>
  <c r="O314" i="2"/>
  <c r="O298" i="2"/>
  <c r="O282" i="2"/>
  <c r="O266" i="2"/>
  <c r="O250" i="2"/>
  <c r="O234" i="2"/>
  <c r="O218" i="2"/>
  <c r="O202" i="2"/>
  <c r="O186" i="2"/>
  <c r="O170" i="2"/>
  <c r="O154" i="2"/>
  <c r="O138" i="2"/>
  <c r="O122" i="2"/>
  <c r="O106" i="2"/>
  <c r="O90" i="2"/>
  <c r="O74" i="2"/>
  <c r="O58" i="2"/>
  <c r="O42" i="2"/>
  <c r="O26" i="2"/>
  <c r="O10" i="2"/>
  <c r="O769" i="2"/>
  <c r="O737" i="2"/>
  <c r="O705" i="2"/>
  <c r="O673" i="2"/>
  <c r="O641" i="2"/>
  <c r="O609" i="2"/>
  <c r="O559" i="2"/>
  <c r="O495" i="2"/>
  <c r="O431" i="2"/>
  <c r="O367" i="2"/>
  <c r="O189" i="2"/>
  <c r="O1196" i="2"/>
  <c r="O1180" i="2"/>
  <c r="O1164" i="2"/>
  <c r="O1148" i="2"/>
  <c r="O1132" i="2"/>
  <c r="O1116" i="2"/>
  <c r="O1094" i="2"/>
  <c r="O1062" i="2"/>
  <c r="O1030" i="2"/>
  <c r="O998" i="2"/>
  <c r="O966" i="2"/>
  <c r="O934" i="2"/>
  <c r="O902" i="2"/>
  <c r="O870" i="2"/>
  <c r="O838" i="2"/>
  <c r="O806" i="2"/>
  <c r="O774" i="2"/>
  <c r="O742" i="2"/>
  <c r="O710" i="2"/>
  <c r="O678" i="2"/>
  <c r="O646" i="2"/>
  <c r="O614" i="2"/>
  <c r="O568" i="2"/>
  <c r="O504" i="2"/>
  <c r="O440" i="2"/>
  <c r="O376" i="2"/>
  <c r="O225" i="2"/>
  <c r="O1199" i="2"/>
  <c r="O1183" i="2"/>
  <c r="O1167" i="2"/>
  <c r="O1151" i="2"/>
  <c r="O1135" i="2"/>
  <c r="O1119" i="2"/>
  <c r="O1101" i="2"/>
  <c r="O1069" i="2"/>
  <c r="O1037" i="2"/>
  <c r="O1005" i="2"/>
  <c r="O973" i="2"/>
  <c r="O941" i="2"/>
  <c r="O909" i="2"/>
  <c r="O877" i="2"/>
  <c r="O845" i="2"/>
  <c r="O813" i="2"/>
  <c r="O781" i="2"/>
  <c r="O749" i="2"/>
  <c r="O717" i="2"/>
  <c r="O685" i="2"/>
  <c r="O653" i="2"/>
  <c r="O621" i="2"/>
  <c r="O583" i="2"/>
  <c r="O519" i="2"/>
  <c r="O455" i="2"/>
  <c r="O391" i="2"/>
  <c r="O285" i="2"/>
  <c r="O29" i="2"/>
  <c r="O1092" i="2"/>
  <c r="O1076" i="2"/>
  <c r="O1060" i="2"/>
  <c r="O1044" i="2"/>
  <c r="O1028" i="2"/>
  <c r="O1012" i="2"/>
  <c r="O996" i="2"/>
  <c r="O980" i="2"/>
  <c r="O964" i="2"/>
  <c r="O948" i="2"/>
  <c r="O932" i="2"/>
  <c r="O916" i="2"/>
  <c r="O900" i="2"/>
  <c r="O884" i="2"/>
  <c r="O868" i="2"/>
  <c r="O852" i="2"/>
  <c r="O836" i="2"/>
  <c r="O820" i="2"/>
  <c r="O804" i="2"/>
  <c r="O788" i="2"/>
  <c r="O772" i="2"/>
  <c r="O756" i="2"/>
  <c r="O740" i="2"/>
  <c r="O724" i="2"/>
  <c r="O708" i="2"/>
  <c r="O692" i="2"/>
  <c r="O676" i="2"/>
  <c r="O660" i="2"/>
  <c r="O644" i="2"/>
  <c r="O628" i="2"/>
  <c r="O612" i="2"/>
  <c r="O596" i="2"/>
  <c r="O564" i="2"/>
  <c r="O532" i="2"/>
  <c r="O500" i="2"/>
  <c r="O468" i="2"/>
  <c r="O436" i="2"/>
  <c r="O404" i="2"/>
  <c r="O372" i="2"/>
  <c r="O337" i="2"/>
  <c r="O209" i="2"/>
  <c r="O81" i="2"/>
  <c r="O1099" i="2"/>
  <c r="O1083" i="2"/>
  <c r="O1067" i="2"/>
  <c r="O1051" i="2"/>
  <c r="O1035" i="2"/>
  <c r="O1019" i="2"/>
  <c r="O1003" i="2"/>
  <c r="O987" i="2"/>
  <c r="O971" i="2"/>
  <c r="O955" i="2"/>
  <c r="O939" i="2"/>
  <c r="O923" i="2"/>
  <c r="O907" i="2"/>
  <c r="O891" i="2"/>
  <c r="O875" i="2"/>
  <c r="O859" i="2"/>
  <c r="O843" i="2"/>
  <c r="O827" i="2"/>
  <c r="O811" i="2"/>
  <c r="O795" i="2"/>
  <c r="O779" i="2"/>
  <c r="O763" i="2"/>
  <c r="O747" i="2"/>
  <c r="O731" i="2"/>
  <c r="O715" i="2"/>
  <c r="O699" i="2"/>
  <c r="O683" i="2"/>
  <c r="O667" i="2"/>
  <c r="O651" i="2"/>
  <c r="O635" i="2"/>
  <c r="O619" i="2"/>
  <c r="O603" i="2"/>
  <c r="O579" i="2"/>
  <c r="O547" i="2"/>
  <c r="O515" i="2"/>
  <c r="O483" i="2"/>
  <c r="O451" i="2"/>
  <c r="O419" i="2"/>
  <c r="O387" i="2"/>
  <c r="O355" i="2"/>
  <c r="O269" i="2"/>
  <c r="O141" i="2"/>
  <c r="O13" i="2"/>
  <c r="O582" i="2"/>
  <c r="O566" i="2"/>
  <c r="O550" i="2"/>
  <c r="O534" i="2"/>
  <c r="O518" i="2"/>
  <c r="O502" i="2"/>
  <c r="O486" i="2"/>
  <c r="O470" i="2"/>
  <c r="O454" i="2"/>
  <c r="O438" i="2"/>
  <c r="O422" i="2"/>
  <c r="O406" i="2"/>
  <c r="O390" i="2"/>
  <c r="O374" i="2"/>
  <c r="O358" i="2"/>
  <c r="O342" i="2"/>
  <c r="O281" i="2"/>
  <c r="O217" i="2"/>
  <c r="O153" i="2"/>
  <c r="O89" i="2"/>
  <c r="O25" i="2"/>
  <c r="O585" i="2"/>
  <c r="O569" i="2"/>
  <c r="O553" i="2"/>
  <c r="O537" i="2"/>
  <c r="O521" i="2"/>
  <c r="O505" i="2"/>
  <c r="O489" i="2"/>
  <c r="O473" i="2"/>
  <c r="O457" i="2"/>
  <c r="O441" i="2"/>
  <c r="O425" i="2"/>
  <c r="O409" i="2"/>
  <c r="O393" i="2"/>
  <c r="O377" i="2"/>
  <c r="O361" i="2"/>
  <c r="O345" i="2"/>
  <c r="O293" i="2"/>
  <c r="O229" i="2"/>
  <c r="O165" i="2"/>
  <c r="O101" i="2"/>
  <c r="O37" i="2"/>
  <c r="O336" i="2"/>
  <c r="O320" i="2"/>
  <c r="O304" i="2"/>
  <c r="O288" i="2"/>
  <c r="O272" i="2"/>
  <c r="O256" i="2"/>
  <c r="O240" i="2"/>
  <c r="O224" i="2"/>
  <c r="O208" i="2"/>
  <c r="O192" i="2"/>
  <c r="O176" i="2"/>
  <c r="O160" i="2"/>
  <c r="O144" i="2"/>
  <c r="O128" i="2"/>
  <c r="O112" i="2"/>
  <c r="O96" i="2"/>
  <c r="O80" i="2"/>
  <c r="O64" i="2"/>
  <c r="O48" i="2"/>
  <c r="O32" i="2"/>
  <c r="O16" i="2"/>
  <c r="O339" i="2"/>
  <c r="O323" i="2"/>
  <c r="O307" i="2"/>
  <c r="O291" i="2"/>
  <c r="O275" i="2"/>
  <c r="O259" i="2"/>
  <c r="O243" i="2"/>
  <c r="O227" i="2"/>
  <c r="O211" i="2"/>
  <c r="O195" i="2"/>
  <c r="O179" i="2"/>
  <c r="O163" i="2"/>
  <c r="O147" i="2"/>
  <c r="O131" i="2"/>
  <c r="O115" i="2"/>
  <c r="O99" i="2"/>
  <c r="O83" i="2"/>
  <c r="O67" i="2"/>
  <c r="O51" i="2"/>
  <c r="O35" i="2"/>
  <c r="O19" i="2"/>
  <c r="O3" i="2"/>
  <c r="O326" i="2"/>
  <c r="O310" i="2"/>
  <c r="O294" i="2"/>
  <c r="O278" i="2"/>
  <c r="O262" i="2"/>
  <c r="O246" i="2"/>
  <c r="O230" i="2"/>
  <c r="O214" i="2"/>
  <c r="O198" i="2"/>
  <c r="O182" i="2"/>
  <c r="O166" i="2"/>
  <c r="O150" i="2"/>
  <c r="O134" i="2"/>
  <c r="O118" i="2"/>
  <c r="O102" i="2"/>
  <c r="O86" i="2"/>
  <c r="O70" i="2"/>
  <c r="O54" i="2"/>
  <c r="O38" i="2"/>
  <c r="O22" i="2"/>
  <c r="O6" i="2"/>
  <c r="O1177" i="2"/>
  <c r="O1145" i="2"/>
  <c r="O1113" i="2"/>
  <c r="O1057" i="2"/>
  <c r="O993" i="2"/>
  <c r="O929" i="2"/>
  <c r="O810" i="2"/>
  <c r="O682" i="2"/>
  <c r="O512" i="2"/>
  <c r="O1198" i="2"/>
  <c r="O1166" i="2"/>
  <c r="O1134" i="2"/>
  <c r="O1098" i="2"/>
  <c r="O1034" i="2"/>
  <c r="O970" i="2"/>
  <c r="O898" i="2"/>
  <c r="O770" i="2"/>
  <c r="O642" i="2"/>
  <c r="O432" i="2"/>
  <c r="O1189" i="2"/>
  <c r="O1157" i="2"/>
  <c r="O1125" i="2"/>
  <c r="O1081" i="2"/>
  <c r="O1017" i="2"/>
  <c r="O953" i="2"/>
  <c r="O858" i="2"/>
  <c r="O730" i="2"/>
  <c r="O602" i="2"/>
  <c r="O352" i="2"/>
  <c r="O1178" i="2"/>
  <c r="O1146" i="2"/>
  <c r="O1114" i="2"/>
  <c r="O1058" i="2"/>
  <c r="O994" i="2"/>
  <c r="O930" i="2"/>
  <c r="O818" i="2"/>
  <c r="O690" i="2"/>
  <c r="O528" i="2"/>
  <c r="O65" i="2"/>
  <c r="O889" i="2"/>
  <c r="O857" i="2"/>
  <c r="O825" i="2"/>
  <c r="O793" i="2"/>
  <c r="O761" i="2"/>
  <c r="O729" i="2"/>
  <c r="O697" i="2"/>
  <c r="O665" i="2"/>
  <c r="O633" i="2"/>
  <c r="O601" i="2"/>
  <c r="O543" i="2"/>
  <c r="O479" i="2"/>
  <c r="O415" i="2"/>
  <c r="O351" i="2"/>
  <c r="O125" i="2"/>
  <c r="O1192" i="2"/>
  <c r="O1176" i="2"/>
  <c r="O1160" i="2"/>
  <c r="O1144" i="2"/>
  <c r="O1128" i="2"/>
  <c r="O1112" i="2"/>
  <c r="O1086" i="2"/>
  <c r="O1054" i="2"/>
  <c r="O1022" i="2"/>
  <c r="O990" i="2"/>
  <c r="O958" i="2"/>
  <c r="O926" i="2"/>
  <c r="O894" i="2"/>
  <c r="O862" i="2"/>
  <c r="O830" i="2"/>
  <c r="O798" i="2"/>
  <c r="O766" i="2"/>
  <c r="O734" i="2"/>
  <c r="O702" i="2"/>
  <c r="O670" i="2"/>
  <c r="O638" i="2"/>
  <c r="O606" i="2"/>
  <c r="O552" i="2"/>
  <c r="O488" i="2"/>
  <c r="O424" i="2"/>
  <c r="O360" i="2"/>
  <c r="O161" i="2"/>
  <c r="O1195" i="2"/>
  <c r="O1179" i="2"/>
  <c r="O1163" i="2"/>
  <c r="O1147" i="2"/>
  <c r="O1131" i="2"/>
  <c r="O1115" i="2"/>
  <c r="O1093" i="2"/>
  <c r="O1061" i="2"/>
  <c r="O1029" i="2"/>
  <c r="O997" i="2"/>
  <c r="O965" i="2"/>
  <c r="O933" i="2"/>
  <c r="O901" i="2"/>
  <c r="O869" i="2"/>
  <c r="O837" i="2"/>
  <c r="O805" i="2"/>
  <c r="O773" i="2"/>
  <c r="O741" i="2"/>
  <c r="O709" i="2"/>
  <c r="O677" i="2"/>
  <c r="O645" i="2"/>
  <c r="O613" i="2"/>
  <c r="O567" i="2"/>
  <c r="O503" i="2"/>
  <c r="O439" i="2"/>
  <c r="O375" i="2"/>
  <c r="O221" i="2"/>
  <c r="O1104" i="2"/>
  <c r="O1088" i="2"/>
  <c r="O1072" i="2"/>
  <c r="O1056" i="2"/>
  <c r="O1040" i="2"/>
  <c r="O1024" i="2"/>
  <c r="O1008" i="2"/>
  <c r="O992" i="2"/>
  <c r="O976" i="2"/>
  <c r="O960" i="2"/>
  <c r="O944" i="2"/>
  <c r="O928" i="2"/>
  <c r="O912" i="2"/>
  <c r="O896" i="2"/>
  <c r="O880" i="2"/>
  <c r="O864" i="2"/>
  <c r="O848" i="2"/>
  <c r="O832" i="2"/>
  <c r="O816" i="2"/>
  <c r="O800" i="2"/>
  <c r="O784" i="2"/>
  <c r="O768" i="2"/>
  <c r="O752" i="2"/>
  <c r="O736" i="2"/>
  <c r="O720" i="2"/>
  <c r="O704" i="2"/>
  <c r="O688" i="2"/>
  <c r="O672" i="2"/>
  <c r="O656" i="2"/>
  <c r="O640" i="2"/>
  <c r="O624" i="2"/>
  <c r="O608" i="2"/>
  <c r="O588" i="2"/>
  <c r="O556" i="2"/>
  <c r="O524" i="2"/>
  <c r="O492" i="2"/>
  <c r="O460" i="2"/>
  <c r="O428" i="2"/>
  <c r="O396" i="2"/>
  <c r="O364" i="2"/>
  <c r="O305" i="2"/>
  <c r="O177" i="2"/>
  <c r="O49" i="2"/>
  <c r="O1095" i="2"/>
  <c r="O1079" i="2"/>
  <c r="O1063" i="2"/>
  <c r="O1047" i="2"/>
  <c r="O1031" i="2"/>
  <c r="O1015" i="2"/>
  <c r="O999" i="2"/>
  <c r="O983" i="2"/>
  <c r="O967" i="2"/>
  <c r="O951" i="2"/>
  <c r="O935" i="2"/>
  <c r="O919" i="2"/>
  <c r="O903" i="2"/>
  <c r="O887" i="2"/>
  <c r="O871" i="2"/>
  <c r="O855" i="2"/>
  <c r="O839" i="2"/>
  <c r="O823" i="2"/>
  <c r="O807" i="2"/>
  <c r="O791" i="2"/>
  <c r="O775" i="2"/>
  <c r="O759" i="2"/>
  <c r="O743" i="2"/>
  <c r="O727" i="2"/>
  <c r="O711" i="2"/>
  <c r="O695" i="2"/>
  <c r="O679" i="2"/>
  <c r="O663" i="2"/>
  <c r="O647" i="2"/>
  <c r="O631" i="2"/>
  <c r="O615" i="2"/>
  <c r="O599" i="2"/>
  <c r="O571" i="2"/>
  <c r="O539" i="2"/>
  <c r="O507" i="2"/>
  <c r="O475" i="2"/>
  <c r="O443" i="2"/>
  <c r="O411" i="2"/>
  <c r="O379" i="2"/>
  <c r="O347" i="2"/>
  <c r="O237" i="2"/>
  <c r="O109" i="2"/>
  <c r="O594" i="2"/>
  <c r="O578" i="2"/>
  <c r="O562" i="2"/>
  <c r="O546" i="2"/>
  <c r="O530" i="2"/>
  <c r="O514" i="2"/>
  <c r="O498" i="2"/>
  <c r="O482" i="2"/>
  <c r="O466" i="2"/>
  <c r="O450" i="2"/>
  <c r="O434" i="2"/>
  <c r="O418" i="2"/>
  <c r="O402" i="2"/>
  <c r="O386" i="2"/>
  <c r="O370" i="2"/>
  <c r="O354" i="2"/>
  <c r="O329" i="2"/>
  <c r="O265" i="2"/>
  <c r="O201" i="2"/>
  <c r="O137" i="2"/>
  <c r="O73" i="2"/>
  <c r="O9" i="2"/>
  <c r="O581" i="2"/>
  <c r="O565" i="2"/>
  <c r="O549" i="2"/>
  <c r="O533" i="2"/>
  <c r="O517" i="2"/>
  <c r="O501" i="2"/>
  <c r="O485" i="2"/>
  <c r="O469" i="2"/>
  <c r="O453" i="2"/>
  <c r="O437" i="2"/>
  <c r="O421" i="2"/>
  <c r="O405" i="2"/>
  <c r="O389" i="2"/>
  <c r="O373" i="2"/>
  <c r="O357" i="2"/>
  <c r="O341" i="2"/>
  <c r="O277" i="2"/>
  <c r="O213" i="2"/>
  <c r="O149" i="2"/>
  <c r="O85" i="2"/>
  <c r="O21" i="2"/>
  <c r="O332" i="2"/>
  <c r="O316" i="2"/>
  <c r="O300" i="2"/>
  <c r="O284" i="2"/>
  <c r="O268" i="2"/>
  <c r="O252" i="2"/>
  <c r="O236" i="2"/>
  <c r="O220" i="2"/>
  <c r="O204" i="2"/>
  <c r="O188" i="2"/>
  <c r="O172" i="2"/>
  <c r="O156" i="2"/>
  <c r="O140" i="2"/>
  <c r="O124" i="2"/>
  <c r="O108" i="2"/>
  <c r="O92" i="2"/>
  <c r="O76" i="2"/>
  <c r="O60" i="2"/>
  <c r="O44" i="2"/>
  <c r="O28" i="2"/>
  <c r="O12" i="2"/>
  <c r="O335" i="2"/>
  <c r="O319" i="2"/>
  <c r="O303" i="2"/>
  <c r="O287" i="2"/>
  <c r="O271" i="2"/>
  <c r="O255" i="2"/>
  <c r="O239" i="2"/>
  <c r="O223" i="2"/>
  <c r="O207" i="2"/>
  <c r="O191" i="2"/>
  <c r="O175" i="2"/>
  <c r="O159" i="2"/>
  <c r="O143" i="2"/>
  <c r="O127" i="2"/>
  <c r="O111" i="2"/>
  <c r="O95" i="2"/>
  <c r="O79" i="2"/>
  <c r="O63" i="2"/>
  <c r="O47" i="2"/>
  <c r="O31" i="2"/>
  <c r="O15" i="2"/>
  <c r="O338" i="2"/>
  <c r="O322" i="2"/>
  <c r="O306" i="2"/>
  <c r="O290" i="2"/>
  <c r="O274" i="2"/>
  <c r="O258" i="2"/>
  <c r="O242" i="2"/>
  <c r="O226" i="2"/>
  <c r="O210" i="2"/>
  <c r="O194" i="2"/>
  <c r="O178" i="2"/>
  <c r="O162" i="2"/>
  <c r="O146" i="2"/>
  <c r="O130" i="2"/>
  <c r="O114" i="2"/>
  <c r="O98" i="2"/>
  <c r="O82" i="2"/>
  <c r="O66" i="2"/>
  <c r="O50" i="2"/>
  <c r="O34" i="2"/>
  <c r="O1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B013AB-6D8A-4DD2-AC24-64DD3871A7A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F6A1BB00-8AAD-4E95-8988-9A0A18EF364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04E55C21-D620-4CF8-ABE2-52F7689B7A8E}" name="WorksheetConnection_Book2!Sheet1" type="102" refreshedVersion="8" minRefreshableVersion="5">
    <extLst>
      <ext xmlns:x15="http://schemas.microsoft.com/office/spreadsheetml/2010/11/main" uri="{DE250136-89BD-433C-8126-D09CA5730AF9}">
        <x15:connection id="Sheet1" autoDelete="1">
          <x15:rangePr sourceName="_xlcn.WorksheetConnection_Book2Sheet11"/>
        </x15:connection>
      </ext>
    </extLst>
  </connection>
</connections>
</file>

<file path=xl/sharedStrings.xml><?xml version="1.0" encoding="utf-8"?>
<sst xmlns="http://schemas.openxmlformats.org/spreadsheetml/2006/main" count="10925" uniqueCount="4336">
  <si>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</si>
  <si>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</si>
  <si>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</si>
  <si>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</si>
  <si>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</si>
  <si>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</si>
  <si>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</si>
  <si>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</si>
  <si>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</si>
  <si>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</si>
  <si>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</si>
  <si>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</si>
  <si>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</si>
  <si>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</si>
  <si>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</si>
  <si>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</si>
  <si>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</si>
  <si>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</si>
  <si>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</si>
  <si>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</si>
  <si>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</si>
  <si>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</si>
  <si>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</si>
  <si>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</si>
  <si>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</si>
  <si>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</si>
  <si>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</si>
  <si>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</si>
  <si>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</si>
  <si>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</si>
  <si>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</si>
  <si>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</si>
  <si>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</si>
  <si>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</si>
  <si>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</si>
  <si>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</si>
  <si>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</si>
  <si>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</si>
  <si>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</si>
  <si>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</si>
  <si>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</si>
  <si>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</si>
  <si>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</si>
  <si>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</si>
  <si>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</si>
  <si>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</si>
  <si>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</si>
  <si>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</si>
  <si>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</si>
  <si>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</si>
  <si>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</si>
  <si>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</si>
  <si>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</si>
  <si>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</si>
  <si>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</si>
  <si>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</si>
  <si>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</si>
  <si>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</si>
  <si>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</si>
  <si>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</si>
  <si>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</si>
  <si>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</si>
  <si>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</si>
  <si>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</si>
  <si>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</si>
  <si>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</si>
  <si>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</si>
  <si>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</si>
  <si>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</si>
  <si>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</si>
  <si>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</si>
  <si>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</si>
  <si>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</si>
  <si>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</si>
  <si>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</si>
  <si>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</si>
  <si>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</si>
  <si>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</si>
  <si>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</si>
  <si>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</si>
  <si>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</si>
  <si>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</si>
  <si>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</si>
  <si>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</si>
  <si>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</si>
  <si>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</si>
  <si>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</si>
  <si>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</si>
  <si>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</si>
  <si>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</si>
  <si>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</si>
  <si>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</si>
  <si>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</si>
  <si>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</si>
  <si>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</si>
  <si>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</si>
  <si>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</si>
  <si>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</si>
  <si>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</si>
  <si>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</si>
  <si>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</si>
  <si>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</si>
  <si>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</si>
  <si>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</si>
  <si>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</si>
  <si>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</si>
  <si>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</si>
  <si>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</si>
  <si>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</si>
  <si>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</si>
  <si>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</si>
  <si>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</si>
  <si>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</si>
  <si>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</si>
  <si>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</si>
  <si>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</si>
  <si>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</si>
  <si>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</si>
  <si>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</si>
  <si>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</si>
  <si>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</si>
  <si>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</si>
  <si>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</si>
  <si>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</si>
  <si>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</si>
  <si>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</si>
  <si>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</si>
  <si>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</si>
  <si>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</si>
  <si>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</si>
  <si>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</si>
  <si>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</si>
  <si>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</si>
  <si>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</si>
  <si>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</si>
  <si>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</si>
  <si>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</si>
  <si>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</si>
  <si>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</si>
  <si>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</si>
  <si>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</si>
  <si>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</si>
  <si>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</si>
  <si>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</si>
  <si>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</si>
  <si>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</si>
  <si>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</si>
  <si>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</si>
  <si>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</si>
  <si>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</si>
  <si>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</si>
  <si>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</si>
  <si>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</si>
  <si>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</si>
  <si>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</si>
  <si>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</si>
  <si>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</si>
  <si>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</si>
  <si>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</si>
  <si>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</si>
  <si>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</si>
  <si>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</si>
  <si>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</si>
  <si>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</si>
  <si>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</si>
  <si>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</si>
  <si>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</si>
  <si>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</si>
  <si>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</si>
  <si>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</si>
  <si>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</si>
  <si>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</si>
  <si>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</si>
  <si>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</si>
  <si>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</si>
  <si>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</si>
  <si>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</si>
  <si>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</si>
  <si>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</si>
  <si>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</si>
  <si>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</si>
  <si>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</si>
  <si>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</si>
  <si>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</si>
  <si>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</si>
  <si>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</si>
  <si>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</si>
  <si>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</si>
  <si>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</si>
  <si>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</si>
  <si>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</si>
  <si>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</si>
  <si>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</si>
  <si>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</si>
  <si>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</si>
  <si>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</si>
  <si>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</si>
  <si>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</si>
  <si>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</si>
  <si>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</si>
  <si>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</si>
  <si>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</si>
  <si>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</si>
  <si>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</si>
  <si>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</si>
  <si>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</si>
  <si>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</si>
  <si>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</si>
  <si>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</si>
  <si>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</si>
  <si>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</si>
  <si>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</si>
  <si>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</si>
  <si>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</si>
  <si>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</si>
  <si>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</si>
  <si>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</si>
  <si>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</si>
  <si>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</si>
  <si>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</si>
  <si>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</si>
  <si>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</si>
  <si>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</si>
  <si>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</si>
  <si>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</si>
  <si>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</si>
  <si>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</si>
  <si>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</si>
  <si>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</si>
  <si>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</si>
  <si>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</si>
  <si>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</si>
  <si>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</si>
  <si>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</si>
  <si>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</si>
  <si>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</si>
  <si>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</si>
  <si>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</si>
  <si>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</si>
  <si>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</si>
  <si>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</si>
  <si>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</si>
  <si>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</si>
  <si>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</si>
  <si>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</si>
  <si>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</si>
  <si>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</si>
  <si>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</si>
  <si>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</si>
  <si>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</si>
  <si>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</si>
  <si>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</si>
  <si>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</si>
  <si>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</si>
  <si>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</si>
  <si>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</si>
  <si>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</si>
  <si>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</si>
  <si>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</si>
  <si>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</si>
  <si>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</si>
  <si>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</si>
  <si>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</si>
  <si>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</si>
  <si>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</si>
  <si>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</si>
  <si>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</si>
  <si>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</si>
  <si>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</si>
  <si>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</si>
  <si>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</si>
  <si>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</si>
  <si>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</si>
  <si>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</si>
  <si>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</si>
  <si>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</si>
  <si>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</si>
  <si>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</si>
  <si>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</si>
  <si>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</si>
  <si>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</si>
  <si>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</si>
  <si>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</si>
  <si>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</si>
  <si>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</si>
  <si>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</si>
  <si>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</si>
  <si>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</si>
  <si>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</si>
  <si>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</si>
  <si>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</si>
  <si>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</si>
  <si>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</si>
  <si>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</si>
  <si>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</si>
  <si>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</si>
  <si>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</si>
  <si>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</si>
  <si>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</si>
  <si>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</si>
  <si>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</si>
  <si>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</si>
  <si>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</si>
  <si>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</si>
  <si>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</si>
  <si>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</si>
  <si>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</si>
  <si>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</si>
  <si>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</si>
  <si>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</si>
  <si>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</si>
  <si>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</si>
  <si>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</si>
  <si>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</si>
  <si>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</si>
  <si>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</si>
  <si>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</si>
  <si>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</si>
  <si>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</si>
  <si>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</si>
  <si>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</si>
  <si>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</si>
  <si>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</si>
  <si>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</si>
  <si>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</si>
  <si>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</si>
  <si>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</si>
  <si>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</si>
  <si>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</si>
  <si>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</si>
  <si>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</si>
  <si>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</si>
  <si>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</si>
  <si>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</si>
  <si>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</si>
  <si>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</si>
  <si>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</si>
  <si>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</si>
  <si>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</si>
  <si>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</si>
  <si>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</si>
  <si>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</si>
  <si>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</si>
  <si>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</si>
  <si>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</si>
  <si>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</si>
  <si>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</si>
  <si>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</si>
  <si>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</si>
  <si>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</si>
  <si>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</si>
  <si>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</si>
  <si>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</si>
  <si>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</si>
  <si>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</si>
  <si>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</si>
  <si>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</si>
  <si>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</si>
  <si>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</si>
  <si>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</si>
  <si>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</si>
  <si>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</si>
  <si>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</si>
  <si>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</si>
  <si>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</si>
  <si>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</si>
  <si>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</si>
  <si>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</si>
  <si>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</si>
  <si>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</si>
  <si>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</si>
  <si>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</si>
  <si>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</si>
  <si>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</si>
  <si>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</si>
  <si>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</si>
  <si>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</si>
  <si>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</si>
  <si>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</si>
  <si>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</si>
  <si>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</si>
  <si>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</si>
  <si>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</si>
  <si>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</si>
  <si>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</si>
  <si>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</si>
  <si>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</si>
  <si>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</si>
  <si>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</si>
  <si>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</si>
  <si>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</si>
  <si>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</si>
  <si>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</si>
  <si>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</si>
  <si>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</si>
  <si>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</si>
  <si>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</si>
  <si>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</si>
  <si>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</si>
  <si>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</si>
  <si>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</si>
  <si>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</si>
  <si>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</si>
  <si>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</si>
  <si>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</si>
  <si>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</si>
  <si>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</si>
  <si>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</si>
  <si>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</si>
  <si>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</si>
  <si>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</si>
  <si>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</si>
  <si>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</si>
  <si>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</si>
  <si>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</si>
  <si>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</si>
  <si>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</si>
  <si>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</si>
  <si>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</si>
  <si>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</si>
  <si>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</si>
  <si>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</si>
  <si>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</si>
  <si>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</si>
  <si>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</si>
  <si>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</si>
  <si>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</si>
  <si>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</si>
  <si>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</si>
  <si>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</si>
  <si>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</si>
  <si>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</si>
  <si>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</si>
  <si>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</si>
  <si>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</si>
  <si>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</si>
  <si>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</si>
  <si>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</si>
  <si>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</si>
  <si>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</si>
  <si>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</si>
  <si>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</si>
  <si>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</si>
  <si>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</si>
  <si>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</si>
  <si>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</si>
  <si>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</si>
  <si>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</si>
  <si>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</si>
  <si>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</si>
  <si>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</si>
  <si>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</si>
  <si>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</si>
  <si>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</si>
  <si>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</si>
  <si>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</si>
  <si>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</si>
  <si>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</si>
  <si>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</si>
  <si>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</si>
  <si>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</si>
  <si>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</si>
  <si>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</si>
  <si>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</si>
  <si>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</si>
  <si>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</si>
  <si>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</si>
  <si>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</si>
  <si>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</si>
  <si>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</si>
  <si>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</si>
  <si>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</si>
  <si>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</si>
  <si>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</si>
  <si>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</si>
  <si>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</si>
  <si>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</si>
  <si>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</si>
  <si>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</si>
  <si>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</si>
  <si>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</si>
  <si>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</si>
  <si>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</si>
  <si>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</si>
  <si>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</si>
  <si>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</si>
  <si>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</si>
  <si>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</si>
  <si>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</si>
  <si>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</si>
  <si>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</si>
  <si>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</si>
  <si>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</si>
  <si>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</si>
  <si>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</si>
  <si>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</si>
  <si>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</si>
  <si>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</si>
  <si>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</si>
  <si>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</si>
  <si>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</si>
  <si>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</si>
  <si>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</si>
  <si>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</si>
  <si>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</si>
  <si>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</si>
  <si>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</si>
  <si>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</si>
  <si>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</si>
  <si>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</si>
  <si>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</si>
  <si>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</si>
  <si>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</si>
  <si>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</si>
  <si>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</si>
  <si>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</si>
  <si>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</si>
  <si>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</si>
  <si>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</si>
  <si>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</si>
  <si>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</si>
  <si>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</si>
  <si>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</si>
  <si>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</si>
  <si>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</si>
  <si>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</si>
  <si>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</si>
  <si>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</si>
  <si>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</si>
  <si>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</si>
  <si>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</si>
  <si>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</si>
  <si>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</si>
  <si>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</si>
  <si>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</si>
  <si>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</si>
  <si>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</si>
  <si>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</si>
  <si>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</si>
  <si>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</si>
  <si>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</si>
  <si>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</si>
  <si>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</si>
  <si>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</si>
  <si>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</si>
  <si>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</si>
  <si>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</si>
  <si>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</si>
  <si>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</si>
  <si>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</si>
  <si>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</si>
  <si>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</si>
  <si>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</si>
  <si>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</si>
  <si>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</si>
  <si>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</si>
  <si>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</si>
  <si>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</si>
  <si>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</si>
  <si>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</si>
  <si>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</si>
  <si>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</si>
  <si>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</si>
  <si>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</si>
  <si>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</si>
  <si>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</si>
  <si>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</si>
  <si>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</si>
  <si>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</si>
  <si>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</si>
  <si>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</si>
  <si>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</si>
  <si>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</si>
  <si>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</si>
  <si>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</si>
  <si>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</si>
  <si>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</si>
  <si>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</si>
  <si>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</si>
  <si>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</si>
  <si>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</si>
  <si>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</si>
  <si>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</si>
  <si>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</si>
  <si>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</si>
  <si>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</si>
  <si>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</si>
  <si>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</si>
  <si>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</si>
  <si>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</si>
  <si>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</si>
  <si>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</si>
  <si>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</si>
  <si>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</si>
  <si>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</si>
  <si>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</si>
  <si>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</si>
  <si>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</si>
  <si>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</si>
  <si>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</si>
  <si>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</si>
  <si>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</si>
  <si>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</si>
  <si>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</si>
  <si>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</si>
  <si>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</si>
  <si>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</si>
  <si>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</si>
  <si>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</si>
  <si>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</si>
  <si>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</si>
  <si>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</si>
  <si>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</si>
  <si>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</si>
  <si>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</si>
  <si>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</si>
  <si>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</si>
  <si>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</si>
  <si>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</si>
  <si>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</si>
  <si>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</si>
  <si>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</si>
  <si>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</si>
  <si>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</si>
  <si>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</si>
  <si>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</si>
  <si>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</si>
  <si>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</si>
  <si>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</si>
  <si>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</si>
  <si>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</si>
  <si>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</si>
  <si>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</si>
  <si>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</si>
  <si>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</si>
  <si>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</si>
  <si>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</si>
  <si>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</si>
  <si>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</si>
  <si>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</si>
  <si>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</si>
  <si>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</si>
  <si>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</si>
  <si>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</si>
  <si>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</si>
  <si>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</si>
  <si>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</si>
  <si>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</si>
  <si>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</si>
  <si>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</si>
  <si>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</si>
  <si>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</si>
  <si>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</si>
  <si>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</si>
  <si>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</si>
  <si>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</si>
  <si>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</si>
  <si>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</si>
  <si>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</si>
  <si>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</si>
  <si>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</si>
  <si>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</si>
  <si>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</si>
  <si>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</si>
  <si>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</si>
  <si>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</si>
  <si>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</si>
  <si>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</si>
  <si>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</si>
  <si>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</si>
  <si>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</si>
  <si>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</si>
  <si>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</si>
  <si>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</si>
  <si>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</si>
  <si>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</si>
  <si>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</si>
  <si>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</si>
  <si>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</si>
  <si>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</si>
  <si>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</si>
  <si>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</si>
  <si>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</si>
  <si>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</si>
  <si>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</si>
  <si>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</si>
  <si>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</si>
  <si>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</si>
  <si>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</si>
  <si>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</si>
  <si>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</si>
  <si>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</si>
  <si>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</si>
  <si>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</si>
  <si>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</si>
  <si>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</si>
  <si>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</si>
  <si>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</si>
  <si>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</si>
  <si>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</si>
  <si>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</si>
  <si>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</si>
  <si>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</si>
  <si>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</si>
  <si>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</si>
  <si>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</si>
  <si>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</si>
  <si>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</si>
  <si>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</si>
  <si>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</si>
  <si>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</si>
  <si>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</si>
  <si>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</si>
  <si>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</si>
  <si>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</si>
  <si>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</si>
  <si>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</si>
  <si>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</si>
  <si>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</si>
  <si>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</si>
  <si>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</si>
  <si>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</si>
  <si>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</si>
  <si>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</si>
  <si>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</si>
  <si>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</si>
  <si>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</si>
  <si>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</si>
  <si>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</si>
  <si>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</si>
  <si>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</si>
  <si>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</si>
  <si>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</si>
  <si>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</si>
  <si>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</si>
  <si>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</si>
  <si>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</si>
  <si>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</si>
  <si>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</si>
  <si>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</si>
  <si>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</si>
  <si>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</si>
  <si>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</si>
  <si>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</si>
  <si>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</si>
  <si>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</si>
  <si>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</si>
  <si>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</si>
  <si>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</si>
  <si>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</si>
  <si>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</si>
  <si>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</si>
  <si>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</si>
  <si>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</si>
  <si>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</si>
  <si>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</si>
  <si>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</si>
  <si>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</si>
  <si>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</si>
  <si>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</si>
  <si>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</si>
  <si>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</si>
  <si>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</si>
  <si>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</si>
  <si>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</si>
  <si>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</si>
  <si>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</si>
  <si>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</si>
  <si>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</si>
  <si>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</si>
  <si>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</si>
  <si>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</si>
  <si>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</si>
  <si>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</si>
  <si>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</si>
  <si>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</si>
  <si>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</si>
  <si>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</si>
  <si>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</si>
  <si>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</si>
  <si>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</si>
  <si>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</si>
  <si>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</si>
  <si>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</si>
  <si>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</si>
  <si>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</si>
  <si>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</si>
  <si>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</si>
  <si>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</si>
  <si>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</si>
  <si>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</si>
  <si>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</si>
  <si>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</si>
  <si>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</si>
  <si>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</si>
  <si>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</si>
  <si>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</si>
  <si>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</si>
  <si>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</si>
  <si>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</si>
  <si>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</si>
  <si>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</si>
  <si>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</si>
  <si>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</si>
  <si>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</si>
  <si>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</si>
  <si>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</si>
  <si>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</si>
  <si>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</si>
  <si>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</si>
  <si>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</si>
  <si>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</si>
  <si>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</si>
  <si>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</si>
  <si>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</si>
  <si>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</si>
  <si>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</si>
  <si>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</si>
  <si>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</si>
  <si>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</si>
  <si>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</si>
  <si>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</si>
  <si>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</si>
  <si>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</si>
  <si>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</si>
  <si>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</si>
  <si>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</si>
  <si>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</si>
  <si>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</si>
  <si>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</si>
  <si>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</si>
  <si>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</si>
  <si>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</si>
  <si>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</si>
  <si>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</si>
  <si>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</si>
  <si>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</si>
  <si>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</si>
  <si>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</si>
  <si>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</si>
  <si>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</si>
  <si>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</si>
  <si>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</si>
  <si>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</si>
  <si>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</si>
  <si>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</si>
  <si>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</si>
  <si>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</si>
  <si>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</si>
  <si>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</si>
  <si>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</si>
  <si>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</si>
  <si>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</si>
  <si>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</si>
  <si>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</si>
  <si>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</si>
  <si>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</si>
  <si>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</si>
  <si>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</si>
  <si>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</si>
  <si>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</si>
  <si>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</si>
  <si>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</si>
  <si>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</si>
  <si>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</si>
  <si>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</si>
  <si>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</si>
  <si>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</si>
  <si>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</si>
  <si>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</si>
  <si>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</si>
  <si>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</si>
  <si>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</si>
  <si>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</si>
  <si>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</si>
  <si>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</si>
  <si>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</si>
  <si>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</si>
  <si>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</si>
  <si>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</si>
  <si>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</si>
  <si>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</si>
  <si>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</si>
  <si>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</si>
  <si>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</si>
  <si>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</si>
  <si>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</si>
  <si>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</si>
  <si>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</si>
  <si>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</si>
  <si>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</si>
  <si>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</si>
  <si>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</si>
  <si>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</si>
  <si>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</si>
  <si>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</si>
  <si>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</si>
  <si>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</si>
  <si>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</si>
  <si>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</si>
  <si>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</si>
  <si>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</si>
  <si>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</si>
  <si>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</si>
  <si>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</si>
  <si>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</si>
  <si>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</si>
  <si>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</si>
  <si>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</si>
  <si>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</si>
  <si>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</si>
  <si>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</si>
  <si>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</si>
  <si>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</si>
  <si>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</si>
  <si>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</si>
  <si>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</si>
  <si>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</si>
  <si>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</si>
  <si>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</si>
  <si>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</si>
  <si>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</si>
  <si>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</si>
  <si>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</si>
  <si>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</si>
  <si>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</si>
  <si>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</si>
  <si>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</si>
  <si>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</si>
  <si>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</si>
  <si>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</si>
  <si>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</si>
  <si>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</si>
  <si>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</si>
  <si>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</si>
  <si>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</si>
  <si>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</si>
  <si>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</si>
  <si>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</si>
  <si>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</si>
  <si>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</si>
  <si>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</si>
  <si>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</si>
  <si>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</si>
  <si>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</si>
  <si>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</si>
  <si>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</si>
  <si>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</si>
  <si>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</si>
  <si>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</si>
  <si>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</si>
  <si>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</si>
  <si>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</si>
  <si>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</si>
  <si>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</si>
  <si>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</si>
  <si>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</si>
  <si>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</si>
  <si>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</si>
  <si>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</si>
  <si>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</si>
  <si>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</si>
  <si>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</si>
  <si>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</si>
  <si>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</si>
  <si>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</si>
  <si>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</si>
  <si>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</si>
  <si>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</si>
  <si>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</si>
  <si>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</si>
  <si>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</si>
  <si>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</si>
  <si>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</si>
  <si>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</si>
  <si>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</si>
  <si>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</si>
  <si>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</si>
  <si>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</si>
  <si>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</si>
  <si>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</si>
  <si>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</si>
  <si>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</si>
  <si>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</si>
  <si>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</si>
  <si>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</si>
  <si>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</si>
  <si>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</si>
  <si>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</si>
  <si>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</si>
  <si>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</si>
  <si>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</si>
  <si>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</si>
  <si>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</si>
  <si>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</si>
  <si>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</si>
  <si>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</si>
  <si>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</si>
  <si>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</si>
  <si>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</si>
  <si>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</si>
  <si>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</si>
  <si>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</si>
  <si>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</si>
  <si>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</si>
  <si>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</si>
  <si>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</si>
  <si>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</si>
  <si>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</si>
  <si>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</si>
  <si>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</si>
  <si>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</si>
  <si>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</si>
  <si>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</si>
  <si>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</si>
  <si>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</si>
  <si>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</si>
  <si>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</si>
  <si>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</si>
  <si>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</si>
  <si>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</si>
  <si>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</si>
  <si>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</si>
  <si>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</si>
  <si>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</si>
  <si>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</si>
  <si>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</si>
  <si>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</si>
  <si>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</si>
  <si>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</si>
  <si>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</si>
  <si>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</si>
  <si>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</si>
  <si>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</si>
  <si>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</si>
  <si>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</si>
  <si>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</si>
  <si>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</si>
  <si>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</si>
  <si>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</si>
  <si>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</si>
  <si>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</si>
  <si>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</si>
  <si>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</si>
  <si>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</si>
  <si>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</si>
  <si>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</si>
  <si>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</si>
  <si>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</si>
  <si>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</si>
  <si>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</si>
  <si>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</si>
  <si>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</si>
  <si>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</si>
  <si>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</si>
  <si>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</si>
  <si>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</si>
  <si>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</si>
  <si>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</si>
  <si>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</si>
  <si>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</si>
  <si>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</si>
  <si>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</si>
  <si>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</si>
  <si>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</si>
  <si>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</si>
  <si>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</si>
  <si>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</si>
  <si>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</si>
  <si>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</si>
  <si>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</si>
  <si>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</si>
  <si>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</si>
  <si>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</si>
  <si>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</si>
  <si>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</si>
  <si>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</si>
  <si>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</si>
  <si>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</si>
  <si>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</si>
  <si>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</si>
  <si>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</si>
  <si>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</si>
  <si>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</si>
  <si>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</si>
  <si>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</si>
  <si>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</si>
  <si>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</si>
  <si>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</si>
  <si>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</si>
  <si>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</si>
  <si>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</si>
  <si>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</si>
  <si>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</si>
  <si>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</si>
  <si>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</si>
  <si>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</si>
  <si>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</si>
  <si>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</si>
  <si>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</si>
  <si>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</si>
  <si>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</si>
  <si>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</si>
  <si>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</si>
  <si>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</si>
  <si>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</si>
  <si>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</si>
  <si>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</si>
  <si>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</si>
  <si>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</si>
  <si>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</si>
  <si>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</si>
  <si>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</si>
  <si>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</si>
  <si>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</si>
  <si>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</si>
  <si>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</si>
  <si>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</si>
  <si>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</si>
  <si>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</si>
  <si>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</si>
  <si>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</si>
  <si>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</si>
  <si>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</si>
  <si>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</si>
  <si>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</si>
  <si>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</si>
  <si>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</si>
  <si>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</si>
  <si>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</si>
  <si>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</si>
  <si>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</si>
  <si>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</si>
  <si>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</si>
  <si>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</si>
  <si>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</si>
  <si>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</si>
  <si>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</si>
  <si>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</si>
  <si>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</si>
  <si>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</si>
  <si>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</si>
  <si>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</si>
  <si>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</si>
  <si>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</si>
  <si>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</si>
  <si>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</si>
  <si>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</si>
  <si>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</si>
  <si>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</si>
  <si>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</si>
  <si>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</si>
  <si>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</si>
  <si>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</si>
  <si>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</si>
  <si>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</si>
  <si>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</si>
  <si>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</si>
  <si>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</si>
  <si>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</si>
  <si>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</si>
  <si>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</si>
  <si>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</si>
  <si>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</si>
  <si>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</si>
  <si>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</si>
  <si>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</si>
  <si>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</si>
  <si>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</si>
  <si>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</si>
  <si>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</si>
  <si>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</si>
  <si>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</si>
  <si>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</si>
  <si>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</si>
  <si>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</si>
  <si>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</si>
  <si>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</si>
  <si>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</si>
  <si>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</si>
  <si>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</si>
  <si>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</si>
  <si>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</si>
  <si>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</si>
  <si>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</si>
  <si>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</si>
  <si>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</si>
  <si>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</si>
  <si>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</si>
  <si>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</si>
  <si>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</si>
  <si>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</si>
  <si>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</si>
  <si>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</si>
  <si>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</si>
  <si>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</si>
  <si>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</si>
  <si>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</si>
  <si>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</si>
  <si>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</si>
  <si>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</si>
  <si>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</si>
  <si>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</si>
  <si>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</si>
  <si>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</si>
  <si>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</si>
  <si>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</si>
  <si>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</si>
  <si>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</si>
  <si>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</si>
  <si>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</si>
  <si>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</si>
  <si>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</si>
  <si>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</si>
  <si>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</si>
  <si>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</si>
  <si>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</si>
  <si>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</si>
  <si>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</si>
  <si>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</si>
  <si>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</si>
  <si>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</si>
  <si>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</si>
  <si>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</si>
  <si>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</si>
  <si>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</si>
  <si>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</si>
  <si>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</si>
  <si>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</si>
  <si>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</si>
  <si>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</si>
  <si>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</si>
  <si>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</si>
  <si>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</si>
  <si>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</si>
  <si>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</si>
  <si>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</si>
  <si>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</si>
  <si>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</si>
  <si>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</si>
  <si>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</si>
  <si>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</si>
  <si>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</si>
  <si>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</si>
  <si>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</si>
  <si>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</si>
  <si>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</si>
  <si>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</si>
  <si>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</si>
  <si>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</si>
  <si>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</si>
  <si>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</si>
  <si>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</si>
  <si>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</si>
  <si>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</si>
  <si>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</si>
  <si>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</si>
  <si>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</si>
  <si>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</si>
  <si>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</si>
  <si>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</si>
  <si>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</si>
  <si>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</si>
  <si>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</si>
  <si>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</si>
  <si>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</si>
  <si>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</si>
  <si>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</si>
  <si>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</si>
  <si>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</si>
  <si>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</si>
  <si>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</si>
  <si>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</si>
  <si>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</si>
  <si>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</si>
  <si>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</si>
  <si>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</si>
  <si>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</si>
  <si>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</si>
  <si>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</si>
  <si>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</si>
  <si>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</si>
  <si>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</si>
  <si>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</si>
  <si>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</si>
  <si>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</si>
  <si>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</si>
  <si>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</si>
  <si>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</si>
  <si>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</si>
  <si>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</si>
  <si>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</si>
  <si>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</si>
  <si>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</si>
  <si>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</si>
  <si>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</si>
  <si>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</si>
  <si>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</si>
  <si>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</si>
  <si>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</si>
  <si>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</si>
  <si>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</si>
  <si>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</si>
  <si>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</si>
  <si>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</si>
  <si>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</si>
  <si>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</si>
  <si>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</si>
  <si>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</si>
  <si>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</si>
  <si>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</si>
  <si>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</si>
  <si>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</si>
  <si>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</si>
  <si>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</si>
  <si>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</si>
  <si>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</si>
  <si>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</si>
  <si>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</si>
  <si>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</si>
  <si>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</si>
  <si>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</si>
  <si>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</si>
  <si>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</si>
  <si>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</si>
  <si>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</si>
  <si>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</si>
  <si>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</si>
  <si>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</si>
  <si>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</si>
  <si>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</si>
  <si>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</si>
  <si>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</si>
  <si>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</si>
  <si>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</si>
  <si>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</si>
  <si>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</si>
  <si>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</si>
  <si>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</si>
  <si>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</si>
  <si>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</si>
  <si>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</si>
  <si>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</si>
  <si>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</si>
  <si>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</si>
  <si>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</si>
  <si>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</si>
  <si>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</si>
  <si>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</si>
  <si>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</si>
  <si>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</si>
  <si>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</si>
  <si>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</si>
  <si>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</si>
  <si>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</si>
  <si>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</si>
  <si>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</si>
  <si>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</si>
  <si>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</si>
  <si>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</si>
  <si>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</si>
  <si>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</si>
  <si>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</si>
  <si>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</si>
  <si>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</si>
  <si>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</si>
  <si>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</si>
  <si>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</si>
  <si>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</si>
  <si>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</si>
  <si>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</si>
  <si>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</si>
  <si>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</si>
  <si>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</si>
  <si>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</si>
  <si>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</si>
  <si>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</si>
  <si>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</si>
  <si>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</si>
  <si>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</si>
  <si>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</si>
  <si>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</si>
  <si>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</si>
  <si>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</si>
  <si>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</si>
  <si>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</si>
  <si>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</si>
  <si>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</si>
  <si>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</si>
  <si>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</si>
  <si>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</si>
  <si>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</si>
  <si>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</si>
  <si>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</si>
  <si>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</si>
  <si>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</si>
  <si>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</si>
  <si>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</si>
  <si>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</si>
  <si>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</si>
  <si>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</si>
  <si>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</si>
  <si>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</si>
  <si>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</si>
  <si>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</si>
  <si>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</si>
  <si>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</si>
  <si>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</si>
  <si>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</si>
  <si>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</si>
  <si>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</si>
  <si>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</si>
  <si>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</si>
  <si>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</si>
  <si>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</si>
  <si>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</si>
  <si>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</si>
  <si>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</si>
  <si>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</si>
  <si>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</si>
  <si>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</si>
  <si>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</si>
  <si>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</si>
  <si>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</si>
  <si>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</si>
  <si>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</si>
  <si>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</si>
  <si>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</si>
  <si>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</si>
  <si>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</si>
  <si>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</si>
  <si>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</si>
  <si>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</si>
  <si>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</si>
  <si>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</si>
  <si>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</si>
  <si>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</si>
  <si>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</si>
  <si>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</si>
  <si>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</si>
  <si>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</si>
  <si>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</si>
  <si>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</si>
  <si>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</si>
  <si>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</si>
  <si>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</si>
  <si>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</si>
  <si>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</si>
  <si>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</si>
  <si>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</si>
  <si>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</si>
  <si>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</si>
  <si>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</si>
  <si>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</si>
  <si>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</si>
  <si>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</si>
  <si>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</si>
  <si>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</si>
  <si>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</si>
  <si>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</si>
  <si>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</si>
  <si>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</si>
  <si>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</si>
  <si>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</si>
  <si>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</si>
  <si>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</si>
  <si>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</si>
  <si>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</si>
  <si>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</si>
  <si>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</si>
  <si>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</si>
  <si>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</si>
  <si>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</si>
  <si>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</si>
  <si>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</si>
  <si>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</si>
  <si>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</si>
  <si>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</si>
  <si>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</si>
  <si>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</si>
  <si>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</si>
  <si>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</si>
  <si>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</si>
  <si>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</si>
  <si>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</si>
  <si>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</si>
  <si>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</si>
  <si>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</si>
  <si>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</si>
  <si>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</si>
  <si>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</si>
  <si>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</si>
  <si>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</si>
  <si>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</si>
  <si>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</si>
  <si>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</si>
  <si>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</si>
  <si>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</si>
  <si>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</si>
  <si>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</si>
  <si>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</si>
  <si>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</si>
  <si>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</si>
  <si>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</si>
  <si>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</si>
  <si>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</si>
  <si>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</si>
  <si>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</si>
  <si>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</si>
  <si>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</si>
  <si>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</si>
  <si>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</si>
  <si>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</si>
  <si>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</si>
  <si>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</si>
  <si>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</si>
  <si>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</si>
  <si>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</si>
  <si>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</si>
  <si>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</si>
  <si>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</si>
  <si>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</si>
  <si>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</si>
  <si>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</si>
  <si>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</si>
  <si>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</si>
  <si>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</si>
  <si>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</si>
  <si>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</si>
  <si>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</si>
  <si>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</si>
  <si>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</si>
  <si>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</si>
  <si>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</si>
  <si>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</si>
  <si>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</si>
  <si>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</si>
  <si>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</si>
  <si>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</si>
  <si>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</si>
  <si>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</si>
  <si>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</si>
  <si>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</si>
  <si>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</si>
  <si>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</si>
  <si>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</si>
  <si>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</si>
  <si>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</si>
  <si>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</si>
  <si>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</si>
  <si>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</si>
  <si>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</si>
  <si>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</si>
  <si>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</si>
  <si>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</si>
  <si>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</si>
  <si>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</si>
  <si>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</si>
  <si>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</si>
  <si>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</si>
  <si>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</si>
  <si>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</si>
  <si>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</si>
  <si>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</si>
  <si>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</si>
  <si>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</si>
  <si>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</si>
  <si>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</si>
  <si>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</si>
  <si>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</si>
  <si>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</si>
  <si>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</si>
  <si>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</si>
  <si>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</si>
  <si>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</si>
  <si>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</si>
  <si>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</si>
  <si>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</si>
  <si>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</si>
  <si>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</si>
  <si>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</si>
  <si>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</si>
  <si>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</si>
  <si>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</si>
  <si>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</si>
  <si>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</si>
  <si>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</si>
  <si>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</si>
  <si>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</si>
  <si>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</si>
  <si>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</si>
  <si>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</si>
  <si>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</si>
  <si>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</si>
  <si>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</si>
  <si>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</si>
  <si>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</si>
  <si>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</si>
  <si>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</si>
  <si>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</si>
  <si>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</si>
  <si>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</si>
  <si>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</si>
  <si>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</si>
  <si>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</si>
  <si>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</si>
  <si>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</si>
  <si>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</si>
  <si>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</si>
  <si>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</si>
  <si>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</si>
  <si>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</si>
  <si>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</si>
  <si>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</si>
  <si>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</si>
  <si>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</si>
  <si>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</si>
  <si>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</si>
  <si>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</si>
  <si>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</si>
  <si>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</si>
  <si>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</si>
  <si>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</si>
  <si>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</si>
  <si>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</si>
  <si>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</si>
  <si>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</si>
  <si>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</si>
  <si>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</si>
  <si>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</si>
  <si>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</si>
  <si>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</si>
  <si>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</si>
  <si>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</si>
  <si>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</si>
  <si>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</si>
  <si>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</si>
  <si>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</si>
  <si>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</si>
  <si>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</si>
  <si>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</si>
  <si>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</si>
  <si>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</si>
  <si>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</si>
  <si>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</si>
  <si>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</si>
  <si>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</si>
  <si>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</si>
  <si>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</si>
  <si>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</si>
  <si>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</si>
  <si>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</si>
  <si>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</si>
  <si>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</si>
  <si>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</si>
  <si>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</si>
  <si>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</si>
  <si>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</si>
  <si>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</si>
  <si>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</si>
  <si>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</si>
  <si>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</si>
  <si>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</si>
  <si>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</si>
  <si>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</si>
  <si>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</si>
  <si>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</si>
  <si>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</si>
  <si>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</si>
  <si>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</si>
  <si>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</si>
  <si>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</si>
  <si>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</si>
  <si>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</si>
  <si>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</si>
  <si>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</si>
  <si>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</si>
  <si>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</si>
  <si>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</si>
  <si>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</si>
  <si>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</si>
  <si>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</si>
  <si>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</si>
  <si>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</si>
  <si>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</si>
  <si>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</si>
  <si>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</si>
  <si>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</si>
  <si>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</si>
  <si>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</si>
  <si>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</si>
  <si>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</si>
  <si>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</si>
  <si>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</si>
  <si>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</si>
  <si>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</si>
  <si>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</si>
  <si>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</si>
  <si>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</si>
  <si>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</si>
  <si>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</si>
  <si>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</si>
  <si>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</si>
  <si>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</si>
  <si>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</si>
  <si>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</si>
  <si>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</si>
  <si>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</si>
  <si>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</si>
  <si>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</si>
  <si>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</si>
  <si>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</si>
  <si>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</si>
  <si>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</si>
  <si>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</si>
  <si>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</si>
  <si>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</si>
  <si>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</si>
  <si>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</si>
  <si>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</si>
  <si>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</si>
  <si>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</si>
  <si>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</si>
  <si>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</si>
  <si>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</si>
  <si>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</si>
  <si>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</si>
  <si>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</si>
  <si>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</si>
  <si>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</si>
  <si>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</si>
  <si>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</si>
  <si>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</si>
  <si>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</si>
  <si>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</si>
  <si>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</si>
  <si>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</si>
  <si>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</si>
  <si>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</si>
  <si>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</si>
  <si>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</si>
  <si>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</si>
  <si>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</si>
  <si>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</si>
  <si>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</si>
  <si>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</si>
  <si>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</si>
  <si>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</si>
  <si>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</si>
  <si>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</si>
  <si>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</si>
  <si>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</si>
  <si>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</si>
  <si>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</si>
  <si>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</si>
  <si>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</si>
  <si>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</si>
  <si>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</si>
  <si>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</si>
  <si>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</si>
  <si>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</si>
  <si>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</si>
  <si>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</si>
  <si>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</si>
  <si>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</si>
  <si>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</si>
  <si>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</si>
  <si>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</si>
  <si>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</si>
  <si>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</si>
  <si>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</si>
  <si>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</si>
  <si>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</si>
  <si>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</si>
  <si>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</si>
  <si>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</si>
  <si>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</si>
  <si>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</si>
  <si>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</si>
  <si>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</si>
  <si>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</si>
  <si>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</si>
  <si>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</si>
  <si>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</si>
  <si>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</si>
  <si>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</si>
  <si>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</si>
  <si>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</si>
  <si>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</si>
  <si>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</si>
  <si>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</si>
  <si>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</si>
  <si>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</si>
  <si>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</si>
  <si>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</si>
  <si>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</si>
  <si>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</si>
  <si>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</si>
  <si>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</si>
  <si>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</si>
  <si>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</si>
  <si>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</si>
  <si>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</si>
  <si>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</si>
  <si>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</si>
  <si>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</si>
  <si>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</si>
  <si>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</si>
  <si>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</si>
  <si>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</si>
  <si>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</si>
  <si>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</si>
  <si>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</si>
  <si>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</si>
  <si>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</si>
  <si>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</si>
  <si>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</si>
  <si>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</si>
  <si>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</si>
  <si>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</si>
  <si>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</si>
  <si>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</si>
  <si>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</si>
  <si>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</si>
  <si>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</si>
  <si>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</si>
  <si>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</si>
  <si>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</si>
  <si>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</si>
  <si>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</si>
  <si>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</si>
  <si>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</si>
  <si>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</si>
  <si>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</si>
  <si>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</si>
  <si>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</si>
  <si>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</si>
  <si>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</si>
  <si>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</si>
  <si>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</si>
  <si>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</si>
  <si>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</si>
  <si>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</si>
  <si>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</si>
  <si>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</si>
  <si>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</si>
  <si>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</si>
  <si>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</si>
  <si>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</si>
  <si>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</si>
  <si>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</si>
  <si>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</si>
  <si>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</si>
  <si>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</si>
  <si>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</si>
  <si>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</si>
  <si>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</si>
  <si>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</si>
  <si>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</si>
  <si>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</si>
  <si>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</si>
  <si>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</si>
  <si>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</si>
  <si>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</si>
  <si>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</si>
  <si>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</si>
  <si>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</si>
  <si>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</si>
  <si>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</si>
  <si>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</si>
  <si>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</si>
  <si>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</si>
  <si>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</si>
  <si>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</si>
  <si>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</si>
  <si>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</si>
  <si>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</si>
  <si>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</si>
  <si>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</si>
  <si>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</si>
  <si>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</si>
  <si>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</si>
  <si>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</si>
  <si>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</si>
  <si>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</si>
  <si>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</si>
  <si>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</si>
  <si>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</si>
  <si>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</si>
  <si>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</si>
  <si>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</si>
  <si>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</si>
  <si>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</si>
  <si>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</si>
  <si>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</si>
  <si>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</si>
  <si>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</si>
  <si>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</si>
  <si>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</si>
  <si>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</si>
  <si>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</si>
  <si>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</si>
  <si>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</si>
  <si>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</si>
  <si>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</si>
  <si>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</si>
  <si>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</si>
  <si>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</si>
  <si>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</si>
  <si>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</si>
  <si>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</si>
  <si>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</si>
  <si>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</si>
  <si>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</si>
  <si>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</si>
  <si>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</si>
  <si>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</si>
  <si>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</si>
  <si>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</si>
  <si>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</si>
  <si>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</si>
  <si>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</si>
  <si>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</si>
  <si>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</si>
  <si>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</si>
  <si>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</si>
  <si>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</si>
  <si>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</si>
  <si>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</si>
  <si>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</si>
  <si>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</si>
  <si>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</si>
  <si>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</si>
  <si>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</si>
  <si>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</si>
  <si>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</si>
  <si>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</si>
  <si>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</si>
  <si>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</si>
  <si>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</si>
  <si>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</si>
  <si>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</si>
  <si>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</si>
  <si>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</si>
  <si>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</si>
  <si>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</si>
  <si>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</si>
  <si>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</si>
  <si>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</si>
  <si>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</si>
  <si>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</si>
  <si>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</si>
  <si>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</si>
  <si>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</si>
  <si>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</si>
  <si>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</si>
  <si>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</si>
  <si>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</si>
  <si>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</si>
  <si>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</si>
  <si>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</si>
  <si>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</si>
  <si>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</si>
  <si>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</si>
  <si>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</si>
  <si>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</si>
  <si>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</si>
  <si>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</si>
  <si>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</si>
  <si>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</si>
  <si>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</si>
  <si>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</si>
  <si>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</si>
  <si>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</si>
  <si>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</si>
  <si>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</si>
  <si>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</si>
  <si>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</si>
  <si>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</si>
  <si>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</si>
  <si>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</si>
  <si>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</si>
  <si>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</si>
  <si>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</si>
  <si>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</si>
  <si>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</si>
  <si>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</si>
  <si>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</si>
  <si>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</si>
  <si>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</si>
  <si>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</si>
  <si>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</si>
  <si>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</si>
  <si>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</si>
  <si>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</si>
  <si>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</si>
  <si>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</si>
  <si>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</si>
  <si>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</si>
  <si>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</si>
  <si>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</si>
  <si>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</si>
  <si>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</si>
  <si>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</si>
  <si>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</si>
  <si>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</si>
  <si>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</si>
  <si>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</si>
  <si>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</si>
  <si>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</si>
  <si>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</si>
  <si>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</si>
  <si>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</si>
  <si>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</si>
  <si>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</si>
  <si>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</si>
  <si>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</si>
  <si>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</si>
  <si>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</si>
  <si>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</si>
  <si>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</si>
  <si>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</si>
  <si>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</si>
  <si>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</si>
  <si>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</si>
  <si>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</si>
  <si>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</si>
  <si>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</si>
  <si>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</si>
  <si>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</si>
  <si>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</si>
  <si>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</si>
  <si>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</si>
  <si>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</si>
  <si>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</si>
  <si>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</si>
  <si>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</si>
  <si>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</si>
  <si>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</si>
  <si>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</si>
  <si>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</si>
  <si>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</si>
  <si>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</si>
  <si>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</si>
  <si>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</si>
  <si>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</si>
  <si>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</si>
  <si>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</si>
  <si>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</si>
  <si>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</si>
  <si>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</si>
  <si>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</si>
  <si>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</si>
  <si>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</si>
  <si>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</si>
  <si>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</si>
  <si>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</si>
  <si>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</si>
  <si>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</si>
  <si>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</si>
  <si>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</si>
  <si>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</si>
  <si>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</si>
  <si>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</si>
  <si>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</si>
  <si>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</si>
  <si>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</si>
  <si>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</si>
  <si>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</si>
  <si>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</si>
  <si>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</si>
  <si>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</si>
  <si>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</si>
  <si>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</si>
  <si>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</si>
  <si>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</si>
  <si>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</si>
  <si>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</si>
  <si>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</si>
  <si>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</si>
  <si>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</si>
  <si>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</si>
  <si>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</si>
  <si>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</si>
  <si>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</si>
  <si>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</si>
  <si>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</si>
  <si>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</si>
  <si>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</si>
  <si>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</si>
  <si>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</si>
  <si>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</si>
  <si>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</si>
  <si>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</si>
  <si>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</si>
  <si>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</si>
  <si>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</si>
  <si>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</si>
  <si>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</si>
  <si>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</si>
  <si>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</si>
  <si>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</si>
  <si>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</si>
  <si>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</si>
  <si>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</si>
  <si>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</si>
  <si>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</si>
  <si>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</si>
  <si>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</si>
  <si>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</si>
  <si>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</si>
  <si>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</si>
  <si>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</si>
  <si>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</si>
  <si>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</si>
  <si>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</si>
  <si>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</si>
  <si>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</si>
  <si>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</si>
  <si>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</si>
  <si>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</si>
  <si>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</si>
  <si>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</si>
  <si>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</si>
  <si>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</si>
  <si>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</si>
  <si>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</si>
  <si>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</si>
  <si>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</si>
  <si>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</si>
  <si>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</si>
  <si>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</si>
  <si>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</si>
  <si>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</si>
  <si>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</si>
  <si>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</si>
  <si>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</si>
  <si>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</si>
  <si>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</si>
  <si>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</si>
  <si>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</si>
  <si>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</si>
  <si>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</si>
  <si>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</si>
  <si>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</si>
  <si>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</si>
  <si>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</si>
  <si>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</si>
  <si>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</si>
  <si>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</si>
  <si>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</si>
  <si>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</si>
  <si>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</si>
  <si>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</si>
  <si>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</si>
  <si>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</si>
  <si>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</si>
  <si>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</si>
  <si>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</si>
  <si>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</si>
  <si>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</si>
  <si>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</si>
  <si>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</si>
  <si>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</si>
  <si>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</si>
  <si>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</si>
  <si>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</si>
  <si>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</si>
  <si>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</si>
  <si>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</si>
  <si>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</si>
  <si>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</si>
  <si>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</si>
  <si>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</si>
  <si>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</si>
  <si>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</si>
  <si>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</si>
  <si>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</si>
  <si>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</si>
  <si>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</si>
  <si>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</si>
  <si>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</si>
  <si>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</si>
  <si>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</si>
  <si>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</si>
  <si>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</si>
  <si>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</si>
  <si>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</si>
  <si>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</si>
  <si>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</si>
  <si>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</si>
  <si>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</si>
  <si>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</si>
  <si>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</si>
  <si>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</si>
  <si>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</si>
  <si>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</si>
  <si>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</si>
  <si>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</si>
  <si>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</si>
  <si>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</si>
  <si>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</si>
  <si>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</si>
  <si>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</si>
  <si>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</si>
  <si>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</si>
  <si>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</si>
  <si>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</si>
  <si>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</si>
  <si>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</si>
  <si>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</si>
  <si>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</si>
  <si>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</si>
  <si>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</si>
  <si>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</si>
  <si>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</si>
  <si>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</si>
  <si>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</si>
  <si>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</si>
  <si>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</si>
  <si>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</si>
  <si>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</si>
  <si>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</si>
  <si>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</si>
  <si>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</si>
  <si>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</si>
  <si>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</si>
  <si>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</si>
  <si>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</si>
  <si>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</si>
  <si>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</si>
  <si>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</si>
  <si>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</si>
  <si>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</si>
  <si>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</si>
  <si>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</si>
  <si>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</si>
  <si>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</si>
  <si>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</si>
  <si>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</si>
  <si>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</si>
  <si>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</si>
  <si>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</si>
  <si>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</si>
  <si>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</si>
  <si>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</si>
  <si>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</si>
  <si>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</si>
  <si>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</si>
  <si>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</si>
  <si>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</si>
  <si>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</si>
  <si>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</si>
  <si>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</si>
  <si>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</si>
  <si>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</si>
  <si>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</si>
  <si>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</si>
  <si>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</si>
  <si>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</si>
  <si>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</si>
  <si>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</si>
  <si>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</si>
  <si>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</si>
  <si>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</si>
  <si>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</si>
  <si>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</si>
  <si>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</si>
  <si>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</si>
  <si>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</si>
  <si>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</si>
  <si>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</si>
  <si>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</si>
  <si>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</si>
  <si>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</si>
  <si>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</si>
  <si>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</si>
  <si>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</si>
  <si>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</si>
  <si>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</si>
  <si>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</si>
  <si>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</si>
  <si>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</si>
  <si>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</si>
  <si>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</si>
  <si>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</si>
  <si>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</si>
  <si>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</si>
  <si>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</si>
  <si>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</si>
  <si>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</si>
  <si>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</si>
  <si>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</si>
  <si>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</si>
  <si>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</si>
  <si>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</si>
  <si>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</si>
  <si>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</si>
  <si>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</si>
  <si>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</si>
  <si>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</si>
  <si>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</si>
  <si>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</si>
  <si>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</si>
  <si>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</si>
  <si>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</si>
  <si>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</si>
  <si>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</si>
  <si>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</si>
  <si>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</si>
  <si>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</si>
  <si>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</si>
  <si>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</si>
  <si>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</si>
  <si>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</si>
  <si>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</si>
  <si>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</si>
  <si>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</si>
  <si>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</si>
  <si>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</si>
  <si>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</si>
  <si>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</si>
  <si>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</si>
  <si>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</si>
  <si>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</si>
  <si>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</si>
  <si>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</si>
  <si>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</si>
  <si>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</si>
  <si>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</si>
  <si>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</si>
  <si>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</si>
  <si>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</si>
  <si>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</si>
  <si>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</si>
  <si>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</si>
  <si>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</si>
  <si>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</si>
  <si>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</si>
  <si>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</si>
  <si>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</si>
  <si>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</si>
  <si>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</si>
  <si>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</si>
  <si>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</si>
  <si>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</si>
  <si>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</si>
  <si>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</si>
  <si>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</si>
  <si>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</si>
  <si>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</si>
  <si>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</si>
  <si>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</si>
  <si>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</si>
  <si>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</si>
  <si>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</si>
  <si>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</si>
  <si>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</si>
  <si>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</si>
  <si>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</si>
  <si>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</si>
  <si>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</si>
  <si>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</si>
  <si>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</si>
  <si>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</si>
  <si>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</si>
  <si>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</si>
  <si>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</si>
  <si>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</si>
  <si>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</si>
  <si>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</si>
  <si>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</si>
  <si>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</si>
  <si>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</si>
  <si>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</si>
  <si>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</si>
  <si>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</si>
  <si>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</si>
  <si>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</si>
  <si>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</si>
  <si>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</si>
  <si>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</si>
  <si>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</si>
  <si>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</si>
  <si>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</si>
  <si>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</si>
  <si>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</si>
  <si>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</si>
  <si>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</si>
  <si>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</si>
  <si>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</si>
  <si>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</si>
  <si>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</si>
  <si>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</si>
  <si>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</si>
  <si>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</si>
  <si>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</si>
  <si>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</si>
  <si>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</si>
  <si>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</si>
  <si>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</si>
  <si>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</si>
  <si>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</si>
  <si>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</si>
  <si>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</si>
  <si>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</si>
  <si>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</si>
  <si>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</si>
  <si>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</si>
  <si>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</si>
  <si>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</si>
  <si>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</si>
  <si>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</si>
  <si>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</si>
  <si>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</si>
  <si>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</si>
  <si>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</si>
  <si>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</si>
  <si>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</si>
  <si>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</si>
  <si>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</si>
  <si>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</si>
  <si>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</si>
  <si>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</si>
  <si>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</si>
  <si>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</si>
  <si>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</si>
  <si>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</si>
  <si>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</si>
  <si>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</si>
  <si>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</si>
  <si>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</si>
  <si>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</si>
  <si>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</si>
  <si>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</si>
  <si>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</si>
  <si>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</si>
  <si>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</si>
  <si>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</si>
  <si>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</si>
  <si>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</si>
  <si>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</si>
  <si>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</si>
  <si>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</si>
  <si>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</si>
  <si>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</si>
  <si>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</si>
  <si>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</si>
  <si>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</si>
  <si>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</si>
  <si>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</si>
  <si>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</si>
  <si>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</si>
  <si>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</si>
  <si>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</si>
  <si>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</si>
  <si>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</si>
  <si>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</si>
  <si>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</si>
  <si>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</si>
  <si>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</si>
  <si>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</si>
  <si>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</si>
  <si>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</si>
  <si>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</si>
  <si>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</si>
  <si>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</si>
  <si>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</si>
  <si>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</si>
  <si>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</si>
  <si>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</si>
  <si>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</si>
  <si>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</si>
  <si>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</si>
  <si>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</si>
  <si>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</si>
  <si>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</si>
  <si>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</si>
  <si>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</si>
  <si>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</si>
  <si>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</si>
  <si>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</si>
  <si>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</si>
  <si>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</si>
  <si>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</si>
  <si>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</si>
  <si>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</si>
  <si>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</si>
  <si>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</si>
  <si>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</si>
  <si>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</si>
  <si>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</si>
  <si>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</si>
  <si>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</si>
  <si>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</si>
  <si>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</si>
  <si>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</si>
  <si>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</si>
  <si>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</si>
  <si>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</si>
  <si>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</si>
  <si>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</si>
  <si>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</si>
  <si>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</si>
  <si>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</si>
  <si>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</si>
  <si>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</si>
  <si>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</si>
  <si>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</si>
  <si>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</si>
  <si>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</si>
  <si>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</si>
  <si>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</si>
  <si>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</si>
  <si>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</si>
  <si>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</si>
  <si>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</si>
  <si>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</si>
  <si>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</si>
  <si>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</si>
  <si>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</si>
  <si>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</si>
  <si>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</si>
  <si>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</si>
  <si>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</si>
  <si>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</si>
  <si>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</si>
  <si>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</si>
  <si>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</si>
  <si>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</si>
  <si>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</si>
  <si>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</si>
  <si>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</si>
  <si>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</si>
  <si>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</si>
  <si>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</si>
  <si>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</si>
  <si>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</si>
  <si>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</si>
  <si>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</si>
  <si>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</si>
  <si>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</si>
  <si>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</si>
  <si>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</si>
  <si>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</si>
  <si>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</si>
  <si>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</si>
  <si>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</si>
  <si>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</si>
  <si>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</si>
  <si>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</si>
  <si>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</si>
  <si>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</si>
  <si>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</si>
  <si>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</si>
  <si>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</si>
  <si>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</si>
  <si>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</si>
  <si>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</si>
  <si>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</si>
  <si>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</si>
  <si>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</si>
  <si>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</si>
  <si>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</si>
  <si>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</si>
  <si>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</si>
  <si>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</si>
  <si>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</si>
  <si>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</si>
  <si>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</si>
  <si>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</si>
  <si>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</si>
  <si>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</si>
  <si>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</si>
  <si>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</si>
  <si>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</si>
  <si>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</si>
  <si>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</si>
  <si>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</si>
  <si>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</si>
  <si>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</si>
  <si>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</si>
  <si>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</si>
  <si>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</si>
  <si>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</si>
  <si>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</si>
  <si>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</si>
  <si>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</si>
  <si>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</si>
  <si>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</si>
  <si>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</si>
  <si>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</si>
  <si>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</si>
  <si>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</si>
  <si>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</si>
  <si>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</si>
  <si>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</si>
  <si>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</si>
  <si>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</si>
  <si>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</si>
  <si>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</si>
  <si>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</si>
  <si>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</si>
  <si>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</si>
  <si>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</si>
  <si>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</si>
  <si>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</si>
  <si>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</si>
  <si>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</si>
  <si>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</si>
  <si>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</si>
  <si>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</si>
  <si>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</si>
  <si>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</si>
  <si>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</si>
  <si>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</si>
  <si>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</si>
  <si>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</si>
  <si>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</si>
  <si>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</si>
  <si>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</si>
  <si>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</si>
  <si>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</si>
  <si>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</si>
  <si>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</si>
  <si>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</si>
  <si>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</si>
  <si>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</si>
  <si>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</si>
  <si>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</si>
  <si>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</si>
  <si>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</si>
  <si>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</si>
  <si>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</si>
  <si>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</si>
  <si>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</si>
  <si>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</si>
  <si>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</si>
  <si>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</si>
  <si>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</si>
  <si>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</si>
  <si>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</si>
  <si>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</si>
  <si>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</si>
  <si>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</si>
  <si>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</si>
  <si>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</si>
  <si>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</si>
  <si>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</si>
  <si>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</si>
  <si>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</si>
  <si>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</si>
  <si>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</si>
  <si>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</si>
  <si>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</si>
  <si>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</si>
  <si>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</si>
  <si>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</si>
  <si>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</si>
  <si>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</si>
  <si>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</si>
  <si>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</si>
  <si>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</si>
  <si>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</si>
  <si>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</si>
  <si>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</si>
  <si>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</si>
  <si>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</si>
  <si>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</si>
  <si>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</si>
  <si>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</si>
  <si>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</si>
  <si>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</si>
  <si>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</si>
  <si>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</si>
  <si>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</si>
  <si>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</si>
  <si>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</si>
  <si>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</si>
  <si>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</si>
  <si>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</si>
  <si>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</si>
  <si>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</si>
  <si>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</si>
  <si>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</si>
  <si>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</si>
  <si>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</si>
  <si>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</si>
  <si>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</si>
  <si>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</si>
  <si>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</si>
  <si>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</si>
  <si>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</si>
  <si>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</si>
  <si>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</si>
  <si>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</si>
  <si>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</si>
  <si>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</si>
  <si>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</si>
  <si>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</si>
  <si>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</si>
  <si>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</si>
  <si>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</si>
  <si>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</si>
  <si>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</si>
  <si>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</si>
  <si>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</si>
  <si>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</si>
  <si>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</si>
  <si>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</si>
  <si>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</si>
  <si>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</si>
  <si>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</si>
  <si>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</si>
  <si>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</si>
  <si>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</si>
  <si>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</si>
  <si>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</si>
  <si>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</si>
  <si>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</si>
  <si>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</si>
  <si>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</si>
  <si>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</si>
  <si>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</si>
  <si>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</si>
  <si>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</si>
  <si>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</si>
  <si>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</si>
  <si>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</si>
  <si>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</si>
  <si>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</si>
  <si>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</si>
  <si>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</si>
  <si>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</si>
  <si>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</si>
  <si>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</si>
  <si>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</si>
  <si>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</si>
  <si>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</si>
  <si>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</si>
  <si>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</si>
  <si>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</si>
  <si>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</si>
  <si>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</si>
  <si>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</si>
  <si>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</si>
  <si>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</si>
  <si>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</si>
  <si>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</si>
  <si>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</si>
  <si>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</si>
  <si>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</si>
  <si>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</si>
  <si>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</si>
  <si>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</si>
  <si>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</si>
  <si>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</si>
  <si>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</si>
  <si>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</si>
  <si>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</si>
  <si>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</si>
  <si>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</si>
  <si>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</si>
  <si>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</si>
  <si>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</si>
  <si>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</si>
  <si>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</si>
  <si>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</si>
  <si>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</si>
  <si>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</si>
  <si>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</si>
  <si>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</si>
  <si>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</si>
  <si>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</si>
  <si>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</si>
  <si>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</si>
  <si>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</si>
  <si>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</si>
  <si>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</si>
  <si>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</si>
  <si>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</si>
  <si>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</si>
  <si>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</si>
  <si>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</si>
  <si>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</si>
  <si>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</si>
  <si>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</si>
  <si>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</si>
  <si>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</si>
  <si>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</si>
  <si>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</si>
  <si>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</si>
  <si>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</si>
  <si>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</si>
  <si>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</si>
  <si>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</si>
  <si>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</si>
  <si>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</si>
  <si>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</si>
  <si>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</si>
  <si>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</si>
  <si>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</si>
  <si>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</si>
  <si>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</si>
  <si>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</si>
  <si>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</si>
  <si>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</si>
  <si>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</si>
  <si>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</si>
  <si>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</si>
  <si>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</si>
  <si>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</si>
  <si>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</si>
  <si>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</si>
  <si>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</si>
  <si>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</si>
  <si>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</si>
  <si>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</si>
  <si>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</si>
  <si>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</si>
  <si>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</si>
  <si>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</si>
  <si>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</si>
  <si>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</si>
  <si>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</si>
  <si>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</si>
  <si>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</si>
  <si>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</si>
  <si>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</si>
  <si>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</si>
  <si>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</si>
  <si>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</si>
  <si>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</si>
  <si>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</si>
  <si>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</si>
  <si>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</si>
  <si>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</si>
  <si>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</si>
  <si>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</si>
  <si>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</si>
  <si>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</si>
  <si>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</si>
  <si>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</si>
  <si>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</si>
  <si>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</si>
  <si>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</si>
  <si>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</si>
  <si>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</si>
  <si>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</si>
  <si>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</si>
  <si>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</si>
  <si>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</si>
  <si>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</si>
  <si>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</si>
  <si>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</si>
  <si>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</si>
  <si>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</si>
  <si>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</si>
  <si>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</si>
  <si>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</si>
  <si>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</si>
  <si>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</si>
  <si>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</si>
  <si>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</si>
  <si>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</si>
  <si>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</si>
  <si>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</si>
  <si>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</si>
  <si>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</si>
  <si>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</si>
  <si>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</si>
  <si>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</si>
  <si>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</si>
  <si>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</si>
  <si>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</si>
  <si>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</si>
  <si>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</si>
  <si>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</si>
  <si>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</si>
  <si>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</si>
  <si>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</si>
  <si>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</si>
  <si>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</si>
  <si>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</si>
  <si>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</si>
  <si>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</si>
  <si>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</si>
  <si>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</si>
  <si>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</si>
  <si>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</si>
  <si>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</si>
  <si>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</si>
  <si>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</si>
  <si>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</si>
  <si>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</si>
  <si>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</si>
  <si>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</si>
  <si>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</si>
  <si>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</si>
  <si>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</si>
  <si>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</si>
  <si>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</si>
  <si>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</si>
  <si>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</si>
  <si>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</si>
  <si>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</si>
  <si>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</si>
  <si>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</si>
  <si>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</si>
  <si>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</si>
  <si>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</si>
  <si>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</si>
  <si>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</si>
  <si>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</si>
  <si>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</si>
  <si>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</si>
  <si>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</si>
  <si>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</si>
  <si>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</si>
  <si>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</si>
  <si>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</si>
  <si>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</si>
  <si>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</si>
  <si>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</si>
  <si>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</si>
  <si>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</si>
  <si>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</si>
  <si>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</si>
  <si>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</si>
  <si>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</si>
  <si>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</si>
  <si>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</si>
  <si>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</si>
  <si>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</si>
  <si>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</si>
  <si>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</si>
  <si>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</si>
  <si>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</si>
  <si>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</si>
  <si>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</si>
  <si>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</si>
  <si>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</si>
  <si>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</si>
  <si>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</si>
  <si>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</si>
  <si>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</si>
  <si>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</si>
  <si>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</si>
  <si>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</si>
  <si>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</si>
  <si>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</si>
  <si>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</si>
  <si>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</si>
  <si>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</si>
  <si>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</si>
  <si>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</si>
  <si>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</si>
  <si>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</si>
  <si>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</si>
  <si>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</si>
  <si>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</si>
  <si>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</si>
  <si>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</si>
  <si>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</si>
  <si>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</si>
  <si>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</si>
  <si>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</si>
  <si>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</si>
  <si>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</si>
  <si>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</si>
  <si>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</si>
  <si>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</si>
  <si>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</si>
  <si>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</si>
  <si>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</si>
  <si>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</si>
  <si>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</si>
  <si>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</si>
  <si>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</si>
  <si>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</si>
  <si>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</si>
  <si>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</si>
  <si>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</si>
  <si>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</si>
  <si>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</si>
  <si>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</si>
  <si>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</si>
  <si>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</si>
  <si>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</si>
  <si>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</si>
  <si>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</si>
  <si>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</si>
  <si>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</si>
  <si>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</si>
  <si>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</si>
  <si>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</si>
  <si>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</si>
  <si>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</si>
  <si>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</si>
  <si>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</si>
  <si>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</si>
  <si>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</si>
  <si>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</si>
  <si>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</si>
  <si>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</si>
  <si>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</si>
  <si>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</si>
  <si>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</si>
  <si>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</si>
  <si>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</si>
  <si>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</si>
  <si>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</si>
  <si>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</si>
  <si>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</si>
  <si>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</si>
  <si>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</si>
  <si>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</si>
  <si>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</si>
  <si>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</si>
  <si>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</si>
  <si>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</si>
  <si>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</si>
  <si>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</si>
  <si>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</si>
  <si>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</si>
  <si>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</si>
  <si>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</si>
  <si>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</si>
  <si>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</si>
  <si>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</si>
  <si>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</si>
  <si>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</si>
  <si>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</si>
  <si>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</si>
  <si>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</si>
  <si>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</si>
  <si>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</si>
  <si>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</si>
  <si>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</si>
  <si>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</si>
  <si>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</si>
  <si>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</si>
  <si>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</si>
  <si>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</si>
  <si>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</si>
  <si>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</si>
  <si>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</si>
  <si>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</si>
  <si>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</si>
  <si>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</si>
  <si>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</si>
  <si>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</si>
  <si>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</si>
  <si>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</si>
  <si>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</si>
  <si>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</si>
  <si>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</si>
  <si>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</si>
  <si>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</si>
  <si>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</si>
  <si>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</si>
  <si>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</si>
  <si>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</si>
  <si>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</si>
  <si>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</si>
  <si>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</si>
  <si>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</si>
  <si>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</si>
  <si>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</si>
  <si>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</si>
  <si>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</si>
  <si>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</si>
  <si>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</si>
  <si>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</si>
  <si>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</si>
  <si>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</si>
  <si>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</si>
  <si>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</si>
  <si>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</si>
  <si>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</si>
  <si>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</si>
  <si>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</si>
  <si>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</si>
  <si>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</si>
  <si>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</si>
  <si>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</si>
  <si>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</si>
  <si>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</si>
  <si>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</si>
  <si>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</si>
  <si>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</si>
  <si>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</si>
  <si>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</si>
  <si>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</si>
  <si>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</si>
  <si>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</si>
  <si>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</si>
  <si>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</si>
  <si>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</si>
  <si>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</si>
  <si>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</si>
  <si>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</si>
  <si>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</si>
  <si>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</si>
  <si>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</si>
  <si>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</si>
  <si>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</si>
  <si>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</si>
  <si>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</si>
  <si>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</si>
  <si>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</si>
  <si>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</si>
  <si>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</si>
  <si>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</si>
  <si>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</si>
  <si>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</si>
  <si>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</si>
  <si>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</si>
  <si>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</si>
  <si>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</si>
  <si>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</si>
  <si>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</si>
  <si>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</si>
  <si>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</si>
  <si>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</si>
  <si>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</si>
  <si>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</si>
  <si>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</si>
  <si>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</si>
  <si>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</si>
  <si>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</si>
  <si>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</si>
  <si>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</si>
  <si>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</si>
  <si>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</si>
  <si>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</si>
  <si>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</si>
  <si>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</si>
  <si>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</si>
  <si>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</si>
  <si>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</si>
  <si>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</si>
  <si>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</si>
  <si>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</si>
  <si>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</si>
  <si>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</si>
  <si>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</si>
  <si>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</si>
  <si>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</si>
  <si>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</si>
  <si>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</si>
  <si>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</si>
  <si>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</si>
  <si>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</si>
  <si>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</si>
  <si>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</si>
  <si>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</si>
  <si>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</si>
  <si>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</si>
  <si>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</si>
  <si>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</si>
  <si>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</si>
  <si>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</si>
  <si>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</si>
  <si>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</si>
  <si>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</si>
  <si>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</si>
  <si>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</si>
  <si>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</si>
  <si>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</si>
  <si>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</si>
  <si>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</si>
  <si>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</si>
  <si>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</si>
  <si>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</si>
  <si>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</si>
  <si>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</si>
  <si>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</si>
  <si>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</si>
  <si>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</si>
  <si>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</si>
  <si>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</si>
  <si>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</si>
  <si>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</si>
  <si>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</si>
  <si>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</si>
  <si>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</si>
  <si>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</si>
  <si>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</si>
  <si>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</si>
  <si>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</si>
  <si>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</si>
  <si>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</si>
  <si>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</si>
  <si>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</si>
  <si>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</si>
  <si>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</si>
  <si>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</si>
  <si>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</si>
  <si>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</si>
  <si>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</si>
  <si>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</si>
  <si>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</si>
  <si>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</si>
  <si>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</si>
  <si>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</si>
  <si>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</si>
  <si>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</si>
  <si>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</si>
  <si>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</si>
  <si>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</si>
  <si>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</si>
  <si>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</si>
  <si>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</si>
  <si>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</si>
  <si>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</si>
  <si>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</si>
  <si>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</si>
  <si>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</si>
  <si>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</si>
  <si>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</si>
  <si>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</si>
  <si>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</si>
  <si>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</si>
  <si>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</si>
  <si>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</si>
  <si>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</si>
  <si>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</si>
  <si>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</si>
  <si>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</si>
  <si>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</si>
  <si>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</si>
  <si>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</si>
  <si>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</si>
  <si>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</si>
  <si>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</si>
  <si>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</si>
  <si>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</si>
  <si>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</si>
  <si>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</si>
  <si>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</si>
  <si>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</si>
  <si>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</si>
  <si>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</si>
  <si>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</si>
  <si>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</si>
  <si>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</si>
  <si>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</si>
  <si>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</si>
  <si>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</si>
  <si>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</si>
  <si>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</si>
  <si>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</si>
  <si>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</si>
  <si>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</si>
  <si>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</si>
  <si>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</si>
  <si>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</si>
  <si>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</si>
  <si>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</si>
  <si>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</si>
  <si>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</si>
  <si>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</si>
  <si>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</si>
  <si>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</si>
  <si>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</si>
  <si>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</si>
  <si>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</si>
  <si>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</si>
  <si>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</si>
  <si>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</si>
  <si>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</si>
  <si>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</si>
  <si>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</si>
  <si>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</si>
  <si>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</si>
  <si>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</si>
  <si>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</si>
  <si>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</si>
  <si>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</si>
  <si>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</si>
  <si>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</si>
  <si>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</si>
  <si>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</si>
  <si>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</si>
  <si>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</si>
  <si>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</si>
  <si>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</si>
  <si>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</si>
  <si>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</si>
  <si>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</si>
  <si>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</si>
  <si>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</si>
  <si>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</si>
  <si>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</si>
  <si>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</si>
  <si>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</si>
  <si>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</si>
  <si>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</si>
  <si>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</si>
  <si>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</si>
  <si>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</si>
  <si>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</si>
  <si>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</si>
  <si>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</si>
  <si>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</si>
  <si>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</si>
  <si>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</si>
  <si>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</si>
  <si>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</si>
  <si>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</si>
  <si>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</si>
  <si>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</si>
  <si>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</si>
  <si>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</si>
  <si>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</si>
  <si>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</si>
  <si>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</si>
  <si>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</si>
  <si>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</si>
  <si>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</si>
  <si>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</si>
  <si>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</si>
  <si>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</si>
  <si>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</si>
  <si>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</si>
  <si>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</si>
  <si>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</si>
  <si>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</si>
  <si>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</si>
  <si>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</si>
  <si>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</si>
  <si>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</si>
  <si>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</si>
  <si>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</si>
  <si>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</si>
  <si>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</si>
  <si>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</si>
  <si>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</si>
  <si>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</si>
  <si>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</si>
  <si>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</si>
  <si>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</si>
  <si>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</si>
  <si>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</si>
  <si>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</si>
  <si>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</si>
  <si>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</si>
  <si>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</si>
  <si>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</si>
  <si>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</si>
  <si>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</si>
  <si>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</si>
  <si>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</si>
  <si>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</si>
  <si>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</si>
  <si>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</si>
  <si>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</si>
  <si>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</si>
  <si>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</si>
  <si>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</si>
  <si>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</si>
  <si>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</si>
  <si>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</si>
  <si>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</si>
  <si>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</si>
  <si>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</si>
  <si>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</si>
  <si>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</si>
  <si>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</si>
  <si>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</si>
  <si>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</si>
  <si>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</si>
  <si>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</si>
  <si>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</si>
  <si>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</si>
  <si>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</si>
  <si>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</si>
  <si>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</si>
  <si>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</si>
  <si>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</si>
  <si>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</si>
  <si>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</si>
  <si>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</si>
  <si>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</si>
  <si>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</si>
  <si>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</si>
  <si>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</si>
  <si>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</si>
  <si>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</si>
  <si>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</si>
  <si>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</si>
  <si>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</si>
  <si>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</si>
  <si>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</si>
  <si>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</si>
  <si>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</si>
  <si>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</si>
  <si>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</si>
  <si>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</si>
  <si>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</si>
  <si>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</si>
  <si>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</si>
  <si>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</si>
  <si>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</si>
  <si>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</si>
  <si>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</si>
  <si>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</si>
  <si>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</si>
  <si>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</si>
  <si>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</si>
  <si>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</si>
  <si>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</si>
  <si>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</si>
  <si>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</si>
  <si>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</si>
  <si>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</si>
  <si>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</si>
  <si>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</si>
  <si>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</si>
  <si>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</si>
  <si>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</si>
  <si>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</si>
  <si>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</si>
  <si>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</si>
  <si>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</si>
  <si>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</si>
  <si>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</si>
  <si>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</si>
  <si>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</si>
  <si>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</si>
  <si>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</si>
  <si>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</si>
  <si>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</si>
  <si>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</si>
  <si>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</si>
  <si>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</si>
  <si>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</si>
  <si>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</si>
  <si>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</si>
  <si>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</si>
  <si>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</si>
  <si>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</si>
  <si>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</si>
  <si>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</si>
  <si>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</si>
  <si>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</si>
  <si>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</si>
  <si>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</si>
  <si>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</si>
  <si>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</si>
  <si>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</si>
  <si>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</si>
  <si>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</si>
  <si>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</si>
  <si>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</si>
  <si>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</si>
  <si>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</si>
  <si>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</si>
  <si>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</si>
  <si>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</si>
  <si>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</si>
  <si>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</si>
  <si>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</si>
  <si>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</si>
  <si>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</si>
  <si>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</si>
  <si>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</si>
  <si>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</si>
  <si>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</si>
  <si>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</si>
  <si>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</si>
  <si>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</si>
  <si>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</si>
  <si>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</si>
  <si>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</si>
  <si>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</si>
  <si>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</si>
  <si>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</si>
  <si>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</si>
  <si>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</si>
  <si>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</si>
  <si>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</si>
  <si>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</si>
  <si>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</si>
  <si>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</si>
  <si>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</si>
  <si>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</si>
  <si>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</si>
  <si>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</si>
  <si>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</si>
  <si>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</si>
  <si>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</si>
  <si>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</si>
  <si>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</si>
  <si>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</si>
  <si>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</si>
  <si>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</si>
  <si>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</si>
  <si>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</si>
  <si>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</si>
  <si>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</si>
  <si>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</si>
  <si>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</si>
  <si>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</si>
  <si>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</si>
  <si>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</si>
  <si>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</si>
  <si>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</si>
  <si>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</si>
  <si>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</si>
  <si>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</si>
  <si>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</si>
  <si>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</si>
  <si>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</si>
  <si>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</si>
  <si>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</si>
  <si>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</si>
  <si>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</si>
  <si>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</si>
  <si>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</si>
  <si>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</si>
  <si>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</si>
  <si>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</si>
  <si>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</si>
  <si>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</si>
  <si>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</si>
  <si>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</si>
  <si>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</si>
  <si>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</si>
  <si>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</si>
  <si>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</si>
  <si>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</si>
  <si>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</si>
  <si>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</si>
  <si>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</si>
  <si>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</si>
  <si>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</si>
  <si>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</si>
  <si>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</si>
  <si>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</si>
  <si>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</si>
  <si>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</si>
  <si>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</si>
  <si>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</si>
  <si>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</si>
  <si>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</si>
  <si>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</si>
  <si>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</si>
  <si>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</si>
  <si>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</si>
  <si>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</si>
  <si>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</si>
  <si>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</si>
  <si>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</si>
  <si>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</si>
  <si>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</si>
  <si>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</si>
  <si>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</si>
  <si>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</si>
  <si>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</si>
  <si>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</si>
  <si>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</si>
  <si>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</si>
  <si>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</si>
  <si>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</si>
  <si>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</si>
  <si>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</si>
  <si>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</si>
  <si>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</si>
  <si>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</si>
  <si>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</si>
  <si>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</si>
  <si>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</si>
  <si>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</si>
  <si>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</si>
  <si>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</si>
  <si>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</si>
  <si>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</si>
  <si>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</si>
  <si>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</si>
  <si>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</si>
  <si>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</si>
  <si>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</si>
  <si>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</si>
  <si>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</si>
  <si>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</si>
  <si>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</si>
  <si>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</si>
  <si>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</si>
  <si>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</si>
  <si>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</si>
  <si>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</si>
  <si>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</si>
  <si>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</si>
  <si>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</si>
  <si>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</si>
  <si>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</si>
  <si>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</si>
  <si>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</si>
  <si>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</si>
  <si>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</si>
  <si>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</si>
  <si>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</si>
  <si>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</si>
  <si>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</si>
  <si>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</si>
  <si>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</si>
  <si>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</si>
  <si>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</si>
  <si>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</si>
  <si>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</si>
  <si>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</si>
  <si>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</si>
  <si>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</si>
  <si>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</si>
  <si>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</si>
  <si>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</si>
  <si>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</si>
  <si>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</si>
  <si>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</si>
  <si>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</si>
  <si>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</si>
  <si>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</si>
  <si>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</si>
  <si>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</si>
  <si>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</si>
  <si>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</si>
  <si>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</si>
  <si>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</si>
  <si>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</si>
  <si>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</si>
  <si>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</si>
  <si>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</si>
  <si>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</si>
  <si>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</si>
  <si>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</si>
  <si>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</si>
  <si>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</si>
  <si>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</si>
  <si>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</si>
  <si>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</si>
  <si>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</si>
  <si>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</si>
  <si>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</si>
  <si>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</si>
  <si>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</si>
  <si>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</si>
  <si>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</si>
  <si>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</si>
  <si>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</si>
  <si>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</si>
  <si>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</si>
  <si>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</si>
  <si>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</si>
  <si>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</si>
  <si>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</si>
  <si>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</si>
  <si>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</si>
  <si>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</si>
  <si>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</si>
  <si>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</si>
  <si>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</si>
  <si>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</si>
  <si>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</si>
  <si>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</si>
  <si>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</si>
  <si>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</si>
  <si>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</si>
  <si>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</si>
  <si>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</si>
  <si>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</si>
  <si>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</si>
  <si>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</si>
  <si>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</si>
  <si>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</si>
  <si>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</si>
  <si>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</si>
  <si>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</si>
  <si>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</si>
  <si>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</si>
  <si>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</si>
  <si>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</si>
  <si>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</si>
  <si>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</si>
  <si>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</si>
  <si>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</si>
  <si>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</si>
  <si>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</si>
  <si>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</si>
  <si>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</si>
  <si>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</si>
  <si>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</si>
  <si>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</si>
  <si>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</si>
  <si>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</si>
  <si>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</si>
  <si>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</si>
  <si>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</si>
  <si>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</si>
  <si>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</si>
  <si>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</si>
  <si>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</si>
  <si>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</si>
  <si>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</si>
  <si>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</si>
  <si>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</si>
  <si>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</si>
  <si>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</si>
  <si>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</si>
  <si>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</si>
  <si>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</si>
  <si>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</si>
  <si>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</si>
  <si>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</si>
  <si>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</si>
  <si>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</si>
  <si>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</si>
  <si>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</si>
  <si>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</si>
  <si>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</si>
  <si>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</si>
  <si>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</si>
  <si>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</si>
  <si>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</si>
  <si>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</si>
  <si>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</si>
  <si>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</si>
  <si>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</si>
  <si>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</si>
  <si>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</si>
  <si>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</si>
  <si>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</si>
  <si>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</si>
  <si>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</si>
  <si>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</si>
  <si>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</si>
  <si>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</si>
  <si>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</si>
  <si>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</si>
  <si>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</si>
  <si>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</si>
  <si>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</si>
  <si>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</si>
  <si>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</si>
  <si>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</si>
  <si>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</si>
  <si>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</si>
  <si>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</si>
  <si>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</si>
  <si>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</si>
  <si>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</si>
  <si>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</si>
  <si>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</si>
  <si>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</si>
  <si>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</si>
  <si>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</si>
  <si>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</si>
  <si>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</si>
  <si>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</si>
  <si>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</si>
  <si>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</si>
  <si>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</si>
  <si>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</si>
  <si>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</si>
  <si>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</si>
  <si>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</si>
  <si>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</si>
  <si>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</si>
  <si>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</si>
  <si>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</si>
  <si>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</si>
  <si>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</si>
  <si>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</si>
  <si>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</si>
  <si>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</si>
  <si>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</si>
  <si>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</si>
  <si>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</si>
  <si>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</si>
  <si>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</si>
  <si>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</si>
  <si>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</si>
  <si>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</si>
  <si>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</si>
  <si>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</si>
  <si>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</si>
  <si>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</si>
  <si>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</si>
  <si>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</si>
  <si>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</si>
  <si>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</si>
  <si>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</si>
  <si>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</si>
  <si>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</si>
  <si>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</si>
  <si>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</si>
  <si>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</si>
  <si>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</si>
  <si>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</si>
  <si>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</si>
  <si>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</si>
  <si>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</si>
  <si>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</si>
  <si>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</si>
  <si>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</si>
  <si>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</si>
  <si>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</si>
  <si>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</si>
  <si>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</si>
  <si>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</si>
  <si>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</si>
  <si>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</si>
  <si>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</si>
  <si>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</si>
  <si>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</si>
  <si>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</si>
  <si>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</si>
  <si>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</si>
  <si>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</si>
  <si>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</si>
  <si>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</si>
  <si>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</si>
  <si>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</si>
  <si>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</si>
  <si>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</si>
  <si>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</si>
  <si>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</si>
  <si>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</si>
  <si>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</si>
  <si>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</si>
  <si>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</si>
  <si>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</si>
  <si>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</si>
  <si>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</si>
  <si>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</si>
  <si>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</si>
  <si>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</si>
  <si>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</si>
  <si>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</si>
  <si>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</si>
  <si>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</si>
  <si>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</si>
  <si>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</si>
  <si>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</si>
  <si>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</si>
  <si>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</si>
  <si>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</si>
  <si>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</si>
  <si>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</si>
  <si>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</si>
  <si>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</si>
  <si>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</si>
  <si>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</si>
  <si>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</si>
  <si>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</si>
  <si>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</si>
  <si>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</si>
  <si>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</si>
  <si>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</si>
  <si>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</si>
  <si>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</si>
  <si>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</si>
  <si>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</si>
  <si>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</si>
  <si>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</si>
  <si>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</si>
  <si>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</si>
  <si>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</si>
  <si>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</si>
  <si>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</si>
  <si>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</si>
  <si>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</si>
  <si>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</si>
  <si>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</si>
  <si>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</si>
  <si>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</si>
  <si>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</si>
  <si>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</si>
  <si>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</si>
  <si>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</si>
  <si>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</si>
  <si>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</si>
  <si>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</si>
  <si>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</si>
  <si>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</si>
  <si>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</si>
  <si>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</si>
  <si>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</si>
  <si>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</si>
  <si>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</si>
  <si>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</si>
  <si>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</si>
  <si>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</si>
  <si>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</si>
  <si>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</si>
  <si>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</si>
  <si>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</si>
  <si>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</si>
  <si>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</si>
  <si>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</si>
  <si>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</si>
  <si>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</si>
  <si>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</si>
  <si>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</si>
  <si>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</si>
  <si>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</si>
  <si>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</si>
  <si>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</si>
  <si>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</si>
  <si>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</si>
  <si>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</si>
  <si>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</si>
  <si>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</si>
  <si>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</si>
  <si>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</si>
  <si>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</si>
  <si>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</si>
  <si>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</si>
  <si>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</si>
  <si>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</si>
  <si>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</si>
  <si>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</si>
  <si>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</si>
  <si>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</si>
  <si>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</si>
  <si>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</si>
  <si>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</si>
  <si>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</si>
  <si>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</si>
  <si>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</si>
  <si>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</si>
  <si>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</si>
  <si>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</si>
  <si>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</si>
  <si>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</si>
  <si>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</si>
  <si>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</si>
  <si>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</si>
  <si>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</si>
  <si>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</si>
  <si>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</si>
  <si>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</si>
  <si>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</si>
  <si>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</si>
  <si>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</si>
  <si>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</si>
  <si>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</si>
  <si>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</si>
  <si>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</si>
  <si>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</si>
  <si>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</si>
  <si>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</si>
  <si>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</si>
  <si>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</si>
  <si>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</si>
  <si>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</si>
  <si>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</si>
  <si>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</si>
  <si>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</si>
  <si>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</si>
  <si>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</si>
  <si>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</si>
  <si>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</si>
  <si>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</si>
  <si>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</si>
  <si>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</si>
  <si>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</si>
  <si>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</si>
  <si>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</si>
  <si>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</si>
  <si>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</si>
  <si>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</si>
  <si>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</si>
  <si>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</si>
  <si>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</si>
  <si>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</si>
  <si>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</si>
  <si>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</si>
  <si>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</si>
  <si>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</si>
  <si>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</si>
  <si>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</si>
  <si>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</si>
  <si>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</si>
  <si>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</si>
  <si>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</si>
  <si>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</si>
  <si>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</si>
  <si>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</si>
  <si>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</si>
  <si>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</si>
  <si>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</si>
  <si>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</si>
  <si>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</si>
  <si>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</si>
  <si>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</si>
  <si>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</si>
  <si>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</si>
  <si>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</si>
  <si>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</si>
  <si>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</si>
  <si>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</si>
  <si>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</si>
  <si>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</si>
  <si>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</si>
  <si>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</si>
  <si>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</si>
  <si>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</si>
  <si>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</si>
  <si>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</si>
  <si>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</si>
  <si>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</si>
  <si>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</si>
  <si>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</si>
  <si>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</si>
  <si>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</si>
  <si>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</si>
  <si>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</si>
  <si>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</si>
  <si>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</si>
  <si>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</si>
  <si>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</si>
  <si>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</si>
  <si>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</si>
  <si>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</si>
  <si>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</si>
  <si>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</si>
  <si>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</si>
  <si>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</si>
  <si>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</si>
  <si>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</si>
  <si>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</si>
  <si>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</si>
  <si>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</si>
  <si>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</si>
  <si>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</si>
  <si>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</si>
  <si>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</si>
  <si>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</si>
  <si>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</si>
  <si>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</si>
  <si>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</si>
  <si>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</si>
  <si>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</si>
  <si>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</si>
  <si>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</si>
  <si>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</si>
  <si>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</si>
  <si>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</si>
  <si>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</si>
  <si>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</si>
  <si>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</si>
  <si>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</si>
  <si>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</si>
  <si>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</si>
  <si>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</si>
  <si>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</si>
  <si>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</si>
  <si>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</si>
  <si>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</si>
  <si>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</si>
  <si>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</si>
  <si>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</si>
  <si>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</si>
  <si>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</si>
  <si>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</si>
  <si>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</si>
  <si>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</si>
  <si>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</si>
  <si>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</si>
  <si>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</si>
  <si>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</si>
  <si>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</si>
  <si>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</si>
  <si>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</si>
  <si>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</si>
  <si>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</si>
  <si>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</si>
  <si>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</si>
  <si>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</si>
  <si>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</si>
  <si>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</si>
  <si>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</si>
  <si>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</si>
  <si>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</si>
  <si>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</si>
  <si>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</si>
  <si>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</si>
  <si>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</si>
  <si>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</si>
  <si>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</si>
  <si>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</si>
  <si>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</si>
  <si>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</si>
  <si>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</si>
  <si>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</si>
  <si>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</si>
  <si>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</si>
  <si>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</si>
  <si>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</si>
  <si>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</si>
  <si>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</si>
  <si>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</si>
  <si>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</si>
  <si>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</si>
  <si>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</si>
  <si>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</si>
  <si>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</si>
  <si>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</si>
  <si>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</si>
  <si>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</si>
  <si>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</si>
  <si>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</si>
  <si>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</si>
  <si>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</si>
  <si>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</si>
  <si>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</si>
  <si>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</si>
  <si>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</si>
  <si>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</si>
  <si>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</si>
  <si>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</si>
  <si>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</si>
  <si>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</si>
  <si>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</si>
  <si>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</si>
  <si>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</si>
  <si>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</si>
  <si>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</si>
  <si>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</si>
  <si>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</si>
  <si>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</si>
  <si>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</si>
  <si>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</si>
  <si>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</si>
  <si>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</si>
  <si>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</si>
  <si>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</si>
  <si>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</si>
  <si>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</si>
  <si>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</si>
  <si>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</si>
  <si>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</si>
  <si>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</si>
  <si>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</si>
  <si>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</si>
  <si>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</si>
  <si>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</si>
  <si>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</si>
  <si>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</si>
  <si>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</si>
  <si>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</si>
  <si>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</si>
  <si>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</si>
  <si>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</si>
  <si>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</si>
  <si>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</si>
  <si>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</si>
  <si>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</si>
  <si>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</si>
  <si>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</si>
  <si>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</si>
  <si>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</si>
  <si>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</si>
  <si>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</si>
  <si>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</si>
  <si>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</si>
  <si>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</si>
  <si>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</si>
  <si>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</si>
  <si>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</si>
  <si>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</si>
  <si>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</si>
  <si>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</si>
  <si>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</si>
  <si>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</si>
  <si>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</si>
  <si>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</si>
  <si>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</si>
  <si>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</si>
  <si>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</si>
  <si>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</si>
  <si>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</si>
  <si>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</si>
  <si>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</si>
  <si>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</si>
  <si>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</si>
  <si>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</si>
  <si>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</si>
  <si>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</si>
  <si>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</si>
  <si>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</si>
  <si>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</si>
  <si>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</si>
  <si>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</si>
  <si>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</si>
  <si>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</si>
  <si>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</si>
  <si>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</si>
  <si>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</si>
  <si>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</si>
  <si>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</si>
  <si>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</si>
  <si>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</si>
  <si>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</si>
  <si>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</si>
  <si>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</si>
  <si>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</si>
  <si>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</si>
  <si>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</si>
  <si>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</si>
  <si>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</si>
  <si>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</si>
  <si>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</si>
  <si>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</si>
  <si>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</si>
  <si>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</si>
  <si>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</si>
  <si>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</si>
  <si>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</si>
  <si>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</si>
  <si>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</si>
  <si>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</si>
  <si>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</si>
  <si>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</si>
  <si>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</si>
  <si>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</si>
  <si>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</si>
  <si>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</si>
  <si>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</si>
  <si>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</si>
  <si>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</si>
  <si>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</si>
  <si>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</si>
  <si>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</si>
  <si>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</si>
  <si>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</si>
  <si>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</si>
  <si>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</si>
  <si>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</si>
  <si>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</si>
  <si>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</si>
  <si>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</si>
  <si>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</si>
  <si>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</si>
  <si>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</si>
  <si>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</si>
  <si>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</si>
  <si>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</si>
  <si>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</si>
  <si>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</si>
  <si>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</si>
  <si>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</si>
  <si>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</si>
  <si>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</si>
  <si>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</si>
  <si>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</si>
  <si>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</si>
  <si>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</si>
  <si>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</si>
  <si>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</si>
  <si>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</si>
  <si>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</si>
  <si>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</si>
  <si>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</si>
  <si>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</si>
  <si>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</si>
  <si>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</si>
  <si>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</si>
  <si>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</si>
  <si>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</si>
  <si>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</si>
  <si>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</si>
  <si>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</si>
  <si>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</si>
  <si>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</si>
  <si>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</si>
  <si>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</si>
  <si>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</si>
  <si>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</si>
  <si>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</si>
  <si>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</si>
  <si>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</si>
  <si>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Sum of TotalPrice</t>
  </si>
  <si>
    <t>Sum of Quantity</t>
  </si>
  <si>
    <t>Count of CustomerID</t>
  </si>
  <si>
    <t>Grand Total</t>
  </si>
  <si>
    <t>2023</t>
  </si>
  <si>
    <t>Nov</t>
  </si>
  <si>
    <t>Feb</t>
  </si>
  <si>
    <t>Jun</t>
  </si>
  <si>
    <t>2024</t>
  </si>
  <si>
    <t>Aug</t>
  </si>
  <si>
    <t>May</t>
  </si>
  <si>
    <t>Jan</t>
  </si>
  <si>
    <t>Mar</t>
  </si>
  <si>
    <t>Apr</t>
  </si>
  <si>
    <t>Jul</t>
  </si>
  <si>
    <t>Sep</t>
  </si>
  <si>
    <t>Oct</t>
  </si>
  <si>
    <t>Dec</t>
  </si>
  <si>
    <t>2025</t>
  </si>
  <si>
    <t>KPI</t>
  </si>
  <si>
    <t>Payment method</t>
  </si>
  <si>
    <t>Customer ID</t>
  </si>
  <si>
    <t>Payment method prefered by customers</t>
  </si>
  <si>
    <t>Year</t>
  </si>
  <si>
    <t>Sales per Year</t>
  </si>
  <si>
    <t>Sales per Month</t>
  </si>
  <si>
    <t>Month</t>
  </si>
  <si>
    <t>Unit price</t>
  </si>
  <si>
    <t>no.</t>
  </si>
  <si>
    <t xml:space="preserve">Top 5 Sales per Unit price </t>
  </si>
  <si>
    <t>Sales per Product</t>
  </si>
  <si>
    <t>Coupon code</t>
  </si>
  <si>
    <t>Sales per Coupon code</t>
  </si>
  <si>
    <t xml:space="preserve">Top 5 Customer </t>
  </si>
  <si>
    <t>Sales per OrderStatus</t>
  </si>
  <si>
    <t>MIN</t>
  </si>
  <si>
    <t>QUARTILE 1</t>
  </si>
  <si>
    <t>MEDIAN</t>
  </si>
  <si>
    <t>QUARTILE 3</t>
  </si>
  <si>
    <t>MAX</t>
  </si>
  <si>
    <t>AVERAGE</t>
  </si>
  <si>
    <t>IQR OUTLIER</t>
  </si>
  <si>
    <t>IQR</t>
  </si>
  <si>
    <t>LOWER BOUND</t>
  </si>
  <si>
    <t>UPPER BOUND</t>
  </si>
  <si>
    <t>Column1</t>
  </si>
  <si>
    <t>Correlation Matrix</t>
  </si>
  <si>
    <t>TotalPrice - Exploratory Data Analysis</t>
  </si>
  <si>
    <t>OUTLIER COUNT</t>
  </si>
  <si>
    <t>Median (₦823.62) is well below the mean (₦1,053.97), confirming TotalPrice is right-skewed — a few large orders pull the average up. Use median for “typical” order value.</t>
  </si>
  <si>
    <t>Orders above ₦3,330.41 are flagged as outliers — 8 in total. Worth a quick manual check to confirm they’re real bulk orders, not data errors.</t>
  </si>
  <si>
    <t xml:space="preserve"> TotalPrice correlates strongly with UnitPrice (0.72) and Quantity (0.62), as expected. ItemsInCart shows a weaker link (0.39) — cart size alone doesn’t predict spend.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</si>
</sst>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$&quot;#,##0.00"/>
    <numFmt numFmtId="168" formatCode="\₦##0.00_);\(\₦##0.00\)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3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10" fontId="1" fillId="0" borderId="0" xfId="0" applyNumberFormat="1" applyFo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0" fillId="0" borderId="0" xfId="0" applyFill="1" applyBorder="1" applyAlignment="1"/>
    <xf numFmtId="166" fontId="0" fillId="0" borderId="6" xfId="0" applyNumberFormat="1" applyBorder="1"/>
    <xf numFmtId="166" fontId="0" fillId="0" borderId="7" xfId="0" applyNumberFormat="1" applyBorder="1"/>
    <xf numFmtId="0" fontId="0" fillId="0" borderId="3" xfId="0" applyFont="1" applyFill="1" applyBorder="1" applyAlignment="1">
      <alignment horizontal="left"/>
    </xf>
    <xf numFmtId="0" fontId="0" fillId="0" borderId="6" xfId="0" applyNumberFormat="1" applyBorder="1"/>
    <xf numFmtId="0" fontId="0" fillId="0" borderId="5" xfId="0" applyNumberFormat="1" applyBorder="1"/>
    <xf numFmtId="166" fontId="0" fillId="0" borderId="8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4" fillId="3" borderId="0" xfId="0" applyFont="1" applyFill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0" fillId="0" borderId="0" xfId="0" applyAlignment="1"/>
    <xf numFmtId="168" fontId="0" fillId="0" borderId="6" xfId="0" applyNumberFormat="1" applyBorder="1"/>
    <xf numFmtId="168" fontId="0" fillId="0" borderId="5" xfId="0" applyNumberFormat="1" applyBorder="1"/>
    <xf numFmtId="168" fontId="0" fillId="0" borderId="4" xfId="0" applyNumberFormat="1" applyBorder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5" Type="http://schemas.openxmlformats.org/officeDocument/2006/relationships/pivotCacheDefinition" Target="pivotCache/pivotCacheDefinition2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7.xml"/><Relationship Id="rId19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54.525814351851" backgroundQuery="1" createdVersion="8" refreshedVersion="8" minRefreshableVersion="3" recordCount="0" supportSubquery="1" supportAdvancedDrill="1" xr:uid="{929D8157-FD17-4562-8F6B-E729DD1909F0}">
  <cacheSource type="external" connectionId="2"/>
  <cacheFields count="8">
    <cacheField name="[Measures].[Sum of TotalPrice]" caption="Sum of TotalPrice" numFmtId="0" hierarchy="20" level="32767"/>
    <cacheField name="[Sheet1].[OrderID].[OrderID]" caption="OrderID" numFmtId="0" level="1">
      <sharedItems count="10">
        <s v="ORD200107"/>
        <s v="ORD200326"/>
        <s v="ORD200328"/>
        <s v="ORD200463"/>
        <s v="ORD200469"/>
        <s v="ORD200632"/>
        <s v="ORD200789"/>
        <s v="ORD201031"/>
        <s v="ORD201065"/>
        <s v="ORD201122"/>
      </sharedItems>
    </cacheField>
    <cacheField name="[Sheet1].[CustomerID].[CustomerID]" caption="CustomerID" numFmtId="0" hierarchy="2" level="1">
      <sharedItems count="5">
        <s v="C13877"/>
        <s v="C18404"/>
        <s v="C38840"/>
        <s v="C57276"/>
        <s v="C67260"/>
      </sharedItems>
    </cacheField>
    <cacheField name="[Sheet1].[Date (Year)].[Date (Year)]" caption="Date (Year)" numFmtId="0" hierarchy="14" level="1">
      <sharedItems count="3">
        <s v="2023"/>
        <s v="2024"/>
        <s v="2025"/>
      </sharedItems>
    </cacheField>
    <cacheField name="[Sheet1].[Date (Month)].[Date (Month)]" caption="Date (Month)" numFmtId="0" hierarchy="16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Sheet1].[UnitPrice].[UnitPrice]" caption="UnitPrice" numFmtId="0" hierarchy="5" level="1">
      <sharedItems containsSemiMixedTypes="0" containsString="0" containsNumber="1" minValue="629.34" maxValue="691.28" count="5">
        <n v="629.34"/>
        <n v="676.98"/>
        <n v="678.16"/>
        <n v="678.19"/>
        <n v="691.28"/>
      </sharedItems>
    </cacheField>
    <cacheField name="[Sheet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  <cacheField name="[Sheet1].[CouponCode].[CouponCode]" caption="CouponCode" numFmtId="0" hierarchy="11" level="1">
      <sharedItems count="4">
        <s v="FREESHIP"/>
        <s v="NoCoupon"/>
        <s v="SAVE10"/>
        <s v="WINTER15"/>
      </sharedItems>
    </cacheField>
  </cacheFields>
  <cacheHierarchies count="26">
    <cacheHierarchy uniqueName="[Sheet1].[OrderID]" caption="OrderID" attribute="1" defaultMemberUniqueName="[Sheet1].[OrderID].[All]" allUniqueName="[Sheet1].[OrderID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Product]" caption="Product" attribute="1" defaultMemberUniqueName="[Sheet1].[Product].[All]" allUniqueName="[Sheet1].[Product].[All]" dimensionUniqueName="[Sheet1]" displayFolder="" count="2" memberValueDatatype="130" unbalanced="0">
      <fieldsUsage count="2">
        <fieldUsage x="-1"/>
        <fieldUsage x="6"/>
      </fieldsUsage>
    </cacheHierarchy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2" memberValueDatatype="5" unbalanced="0">
      <fieldsUsage count="2">
        <fieldUsage x="-1"/>
        <fieldUsage x="5"/>
      </fieldsUsage>
    </cacheHierarchy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2" memberValueDatatype="130" unbalanced="0">
      <fieldsUsage count="2">
        <fieldUsage x="-1"/>
        <fieldUsage x="7"/>
      </fieldsUsage>
    </cacheHierarchy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2" memberValueDatatype="130" unbalanced="0">
      <fieldsUsage count="2">
        <fieldUsage x="-1"/>
        <fieldUsage x="3"/>
      </fieldsUsage>
    </cacheHierarchy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2" memberValueDatatype="130" unbalanced="0">
      <fieldsUsage count="2">
        <fieldUsage x="-1"/>
        <fieldUsage x="4"/>
      </fieldsUsage>
    </cacheHierarchy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ID]" caption="Count of CustomerID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UnitPrice]" caption="Sum of UnitPrice" measure="1" displayFolder="" measureGroup="Sheet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]" caption="Count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54.513500347224" backgroundQuery="1" createdVersion="8" refreshedVersion="8" minRefreshableVersion="3" recordCount="0" supportSubquery="1" supportAdvancedDrill="1" xr:uid="{A2485CDC-E4E1-4B14-B2F9-B128E31AB725}">
  <cacheSource type="external" connectionId="2"/>
  <cacheFields count="7">
    <cacheField name="[Measures].[Sum of TotalPrice]" caption="Sum of TotalPrice" numFmtId="0" hierarchy="20" level="32767"/>
    <cacheField name="[Sheet1].[OrderID].[OrderID]" caption="OrderID" numFmtId="0" level="1">
      <sharedItems count="10">
        <s v="ORD200107"/>
        <s v="ORD200326"/>
        <s v="ORD200328"/>
        <s v="ORD200463"/>
        <s v="ORD200469"/>
        <s v="ORD200632"/>
        <s v="ORD200789"/>
        <s v="ORD201031"/>
        <s v="ORD201065"/>
        <s v="ORD201122"/>
      </sharedItems>
    </cacheField>
    <cacheField name="[Sheet1].[CustomerID].[CustomerID]" caption="CustomerID" numFmtId="0" hierarchy="2" level="1">
      <sharedItems count="5">
        <s v="C13877"/>
        <s v="C18404"/>
        <s v="C38840"/>
        <s v="C57276"/>
        <s v="C67260"/>
      </sharedItems>
    </cacheField>
    <cacheField name="[Sheet1].[Date (Year)].[Date (Year)]" caption="Date (Year)" numFmtId="0" hierarchy="14" level="1">
      <sharedItems count="3">
        <s v="2023"/>
        <s v="2024"/>
        <s v="2025"/>
      </sharedItems>
    </cacheField>
    <cacheField name="[Sheet1].[Date (Month)].[Date (Month)]" caption="Date (Month)" numFmtId="0" hierarchy="16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Sheet1].[UnitPrice].[UnitPrice]" caption="UnitPrice" numFmtId="0" hierarchy="5" level="1">
      <sharedItems containsSemiMixedTypes="0" containsString="0" containsNumber="1" minValue="629.34" maxValue="691.28" count="5">
        <n v="629.34"/>
        <n v="676.98"/>
        <n v="678.16"/>
        <n v="678.19"/>
        <n v="691.28"/>
      </sharedItems>
    </cacheField>
    <cacheField name="[Sheet1].[Product].[Product]" caption="Product" numFmtId="0" hierarchy="3" level="1">
      <sharedItems count="7">
        <s v="Chair"/>
        <s v="Desk"/>
        <s v="Laptop"/>
        <s v="Monitor"/>
        <s v="Phone"/>
        <s v="Printer"/>
        <s v="Tablet"/>
      </sharedItems>
    </cacheField>
  </cacheFields>
  <cacheHierarchies count="26">
    <cacheHierarchy uniqueName="[Sheet1].[OrderID]" caption="OrderID" attribute="1" defaultMemberUniqueName="[Sheet1].[OrderID].[All]" allUniqueName="[Sheet1].[OrderID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Product]" caption="Product" attribute="1" defaultMemberUniqueName="[Sheet1].[Product].[All]" allUniqueName="[Sheet1].[Product].[All]" dimensionUniqueName="[Sheet1]" displayFolder="" count="2" memberValueDatatype="130" unbalanced="0">
      <fieldsUsage count="2">
        <fieldUsage x="-1"/>
        <fieldUsage x="6"/>
      </fieldsUsage>
    </cacheHierarchy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2" memberValueDatatype="5" unbalanced="0">
      <fieldsUsage count="2">
        <fieldUsage x="-1"/>
        <fieldUsage x="5"/>
      </fieldsUsage>
    </cacheHierarchy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2" memberValueDatatype="130" unbalanced="0">
      <fieldsUsage count="2">
        <fieldUsage x="-1"/>
        <fieldUsage x="3"/>
      </fieldsUsage>
    </cacheHierarchy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2" memberValueDatatype="130" unbalanced="0">
      <fieldsUsage count="2">
        <fieldUsage x="-1"/>
        <fieldUsage x="4"/>
      </fieldsUsage>
    </cacheHierarchy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ID]" caption="Count of CustomerID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UnitPrice]" caption="Sum of UnitPrice" measure="1" displayFolder="" measureGroup="Sheet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]" caption="Count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54.511939930555" backgroundQuery="1" createdVersion="8" refreshedVersion="8" minRefreshableVersion="3" recordCount="0" supportSubquery="1" supportAdvancedDrill="1" xr:uid="{94A15031-45DA-49A4-9979-EEB0C9826771}">
  <cacheSource type="external" connectionId="2"/>
  <cacheFields count="7">
    <cacheField name="[Measures].[Sum of TotalPrice]" caption="Sum of TotalPrice" numFmtId="0" hierarchy="20" level="32767"/>
    <cacheField name="[Sheet1].[OrderID].[OrderID]" caption="OrderID" numFmtId="0" level="1">
      <sharedItems count="10">
        <s v="ORD200107"/>
        <s v="ORD200326"/>
        <s v="ORD200328"/>
        <s v="ORD200463"/>
        <s v="ORD200469"/>
        <s v="ORD200632"/>
        <s v="ORD200789"/>
        <s v="ORD201031"/>
        <s v="ORD201065"/>
        <s v="ORD201122"/>
      </sharedItems>
    </cacheField>
    <cacheField name="[Sheet1].[CustomerID].[CustomerID]" caption="CustomerID" numFmtId="0" hierarchy="2" level="1">
      <sharedItems count="5">
        <s v="C13877"/>
        <s v="C18404"/>
        <s v="C38840"/>
        <s v="C57276"/>
        <s v="C67260"/>
      </sharedItems>
    </cacheField>
    <cacheField name="[Sheet1].[Date (Year)].[Date (Year)]" caption="Date (Year)" numFmtId="0" hierarchy="14" level="1">
      <sharedItems count="3">
        <s v="2023"/>
        <s v="2024"/>
        <s v="2025"/>
      </sharedItems>
    </cacheField>
    <cacheField name="[Sheet1].[Date (Month)].[Date (Month)]" caption="Date (Month)" numFmtId="0" hierarchy="16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Sheet1].[Quantity].[Quantity]" caption="Quantity" numFmtId="0" hierarchy="4" level="1">
      <sharedItems containsSemiMixedTypes="0" containsString="0" containsNumber="1" containsInteger="1" minValue="4" maxValue="5" count="2"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Sheet1].[Quantity].&amp;[4]"/>
            <x15:cachedUniqueName index="1" name="[Sheet1].[Quantity].&amp;[5]"/>
          </x15:cachedUniqueNames>
        </ext>
      </extLst>
    </cacheField>
    <cacheField name="[Sheet1].[UnitPrice].[UnitPrice]" caption="UnitPrice" numFmtId="0" hierarchy="5" level="1">
      <sharedItems containsSemiMixedTypes="0" containsString="0" containsNumber="1" minValue="629.34" maxValue="691.28" count="5">
        <n v="629.34"/>
        <n v="676.98"/>
        <n v="678.16"/>
        <n v="678.19"/>
        <n v="691.28"/>
      </sharedItems>
    </cacheField>
  </cacheFields>
  <cacheHierarchies count="26">
    <cacheHierarchy uniqueName="[Sheet1].[OrderID]" caption="OrderID" attribute="1" defaultMemberUniqueName="[Sheet1].[OrderID].[All]" allUniqueName="[Sheet1].[OrderID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2" memberValueDatatype="20" unbalanced="0">
      <fieldsUsage count="2">
        <fieldUsage x="-1"/>
        <fieldUsage x="5"/>
      </fieldsUsage>
    </cacheHierarchy>
    <cacheHierarchy uniqueName="[Sheet1].[UnitPrice]" caption="UnitPrice" attribute="1" defaultMemberUniqueName="[Sheet1].[UnitPrice].[All]" allUniqueName="[Sheet1].[UnitPrice].[All]" dimensionUniqueName="[Sheet1]" displayFolder="" count="2" memberValueDatatype="5" unbalanced="0">
      <fieldsUsage count="2">
        <fieldUsage x="-1"/>
        <fieldUsage x="6"/>
      </fieldsUsage>
    </cacheHierarchy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2" memberValueDatatype="130" unbalanced="0">
      <fieldsUsage count="2">
        <fieldUsage x="-1"/>
        <fieldUsage x="3"/>
      </fieldsUsage>
    </cacheHierarchy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2" memberValueDatatype="130" unbalanced="0">
      <fieldsUsage count="2">
        <fieldUsage x="-1"/>
        <fieldUsage x="4"/>
      </fieldsUsage>
    </cacheHierarchy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ID]" caption="Count of CustomerID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UnitPrice]" caption="Sum of UnitPrice" measure="1" displayFolder="" measureGroup="Sheet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]" caption="Count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54.535395254628" backgroundQuery="1" createdVersion="8" refreshedVersion="8" minRefreshableVersion="3" recordCount="0" supportSubquery="1" supportAdvancedDrill="1" xr:uid="{CF8C6A1A-7381-4467-99CB-465FFA858F34}">
  <cacheSource type="external" connectionId="2"/>
  <cacheFields count="5">
    <cacheField name="[Measures].[Sum of TotalPrice]" caption="Sum of TotalPrice" numFmtId="0" hierarchy="20" level="32767"/>
    <cacheField name="[Sheet1].[OrderID].[OrderID]" caption="OrderID" numFmtId="0" level="1">
      <sharedItems count="10">
        <s v="ORD200107"/>
        <s v="ORD200326"/>
        <s v="ORD200328"/>
        <s v="ORD200463"/>
        <s v="ORD200469"/>
        <s v="ORD200632"/>
        <s v="ORD200789"/>
        <s v="ORD201031"/>
        <s v="ORD201065"/>
        <s v="ORD201122"/>
      </sharedItems>
    </cacheField>
    <cacheField name="[Sheet1].[CustomerID].[CustomerID]" caption="CustomerID" numFmtId="0" hierarchy="2" level="1">
      <sharedItems count="5">
        <s v="C13877"/>
        <s v="C18404"/>
        <s v="C38840"/>
        <s v="C57276"/>
        <s v="C67260"/>
      </sharedItems>
    </cacheField>
    <cacheField name="[Sheet1].[Date (Year)].[Date (Year)]" caption="Date (Year)" numFmtId="0" hierarchy="14" level="1">
      <sharedItems count="3">
        <s v="2023"/>
        <s v="2024"/>
        <s v="2025"/>
      </sharedItems>
    </cacheField>
    <cacheField name="[Sheet1].[Date (Month)].[Date (Month)]" caption="Date (Month)" numFmtId="0" hierarchy="16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26">
    <cacheHierarchy uniqueName="[Sheet1].[OrderID]" caption="OrderID" attribute="1" defaultMemberUniqueName="[Sheet1].[OrderID].[All]" allUniqueName="[Sheet1].[OrderID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2" memberValueDatatype="130" unbalanced="0">
      <fieldsUsage count="2">
        <fieldUsage x="-1"/>
        <fieldUsage x="3"/>
      </fieldsUsage>
    </cacheHierarchy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2" memberValueDatatype="130" unbalanced="0">
      <fieldsUsage count="2">
        <fieldUsage x="-1"/>
        <fieldUsage x="4"/>
      </fieldsUsage>
    </cacheHierarchy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ID]" caption="Count of CustomerID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UnitPrice]" caption="Sum of UnitPrice" measure="1" displayFolder="" measureGroup="Sheet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]" caption="Count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54.53500462963" backgroundQuery="1" createdVersion="8" refreshedVersion="8" minRefreshableVersion="3" recordCount="0" supportSubquery="1" supportAdvancedDrill="1" xr:uid="{188540E9-1E62-4016-8F75-4EB4956527FF}">
  <cacheSource type="external" connectionId="2"/>
  <cacheFields count="4">
    <cacheField name="[Measures].[Sum of TotalPrice]" caption="Sum of TotalPrice" numFmtId="0" hierarchy="20" level="32767"/>
    <cacheField name="[Sheet1].[OrderID].[OrderID]" caption="OrderID" numFmtId="0" level="1">
      <sharedItems count="10">
        <s v="ORD200107"/>
        <s v="ORD200326"/>
        <s v="ORD200328"/>
        <s v="ORD200463"/>
        <s v="ORD200469"/>
        <s v="ORD200632"/>
        <s v="ORD200789"/>
        <s v="ORD201031"/>
        <s v="ORD201065"/>
        <s v="ORD201122"/>
      </sharedItems>
    </cacheField>
    <cacheField name="[Sheet1].[CustomerID].[CustomerID]" caption="CustomerID" numFmtId="0" hierarchy="2" level="1">
      <sharedItems count="5">
        <s v="C13877"/>
        <s v="C18404"/>
        <s v="C38840"/>
        <s v="C57276"/>
        <s v="C67260"/>
      </sharedItems>
    </cacheField>
    <cacheField name="[Sheet1].[Date (Year)].[Date (Year)]" caption="Date (Year)" numFmtId="0" hierarchy="14" level="1">
      <sharedItems count="3">
        <s v="2023"/>
        <s v="2024"/>
        <s v="2025"/>
      </sharedItems>
    </cacheField>
  </cacheFields>
  <cacheHierarchies count="26">
    <cacheHierarchy uniqueName="[Sheet1].[OrderID]" caption="OrderID" attribute="1" defaultMemberUniqueName="[Sheet1].[OrderID].[All]" allUniqueName="[Sheet1].[OrderID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2" memberValueDatatype="130" unbalanced="0">
      <fieldsUsage count="2">
        <fieldUsage x="-1"/>
        <fieldUsage x="3"/>
      </fieldsUsage>
    </cacheHierarchy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ID]" caption="Count of CustomerID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UnitPrice]" caption="Sum of UnitPrice" measure="1" displayFolder="" measureGroup="Sheet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]" caption="Count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54.532728240738" backgroundQuery="1" createdVersion="8" refreshedVersion="8" minRefreshableVersion="3" recordCount="0" supportSubquery="1" supportAdvancedDrill="1" xr:uid="{463A9138-B75A-4D11-B7EE-8C315C5B98BC}">
  <cacheSource type="external" connectionId="2"/>
  <cacheFields count="3">
    <cacheField name="[Measures].[Sum of TotalPrice]" caption="Sum of TotalPrice" numFmtId="0" hierarchy="20" level="32767"/>
    <cacheField name="[Sheet1].[OrderID].[OrderID]" caption="OrderID" numFmtId="0" level="1">
      <sharedItems count="10">
        <s v="ORD200107"/>
        <s v="ORD200326"/>
        <s v="ORD200328"/>
        <s v="ORD200463"/>
        <s v="ORD200469"/>
        <s v="ORD200632"/>
        <s v="ORD200789"/>
        <s v="ORD201031"/>
        <s v="ORD201065"/>
        <s v="ORD201122"/>
      </sharedItems>
    </cacheField>
    <cacheField name="[Sheet1].[CustomerID].[CustomerID]" caption="CustomerID" numFmtId="0" hierarchy="2" level="1">
      <sharedItems count="5">
        <s v="C13877"/>
        <s v="C18404"/>
        <s v="C38840"/>
        <s v="C57276"/>
        <s v="C67260"/>
      </sharedItems>
    </cacheField>
  </cacheFields>
  <cacheHierarchies count="26">
    <cacheHierarchy uniqueName="[Sheet1].[OrderID]" caption="OrderID" attribute="1" defaultMemberUniqueName="[Sheet1].[OrderID].[All]" allUniqueName="[Sheet1].[OrderID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ID]" caption="Count of CustomerID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UnitPrice]" caption="Sum of UnitPrice" measure="1" displayFolder="" measureGroup="Sheet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]" caption="Count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54.534704398146" backgroundQuery="1" createdVersion="8" refreshedVersion="8" minRefreshableVersion="3" recordCount="0" supportSubquery="1" supportAdvancedDrill="1" xr:uid="{2E5ED2D2-E9F7-4768-AD87-FEEFB9A20CD8}">
  <cacheSource type="external" connectionId="2"/>
  <cacheFields count="3">
    <cacheField name="[Measures].[Sum of TotalPrice]" caption="Sum of TotalPrice" numFmtId="0" hierarchy="20" level="32767"/>
    <cacheField name="[Measures].[Count of CustomerID]" caption="Count of CustomerID" numFmtId="0" hierarchy="22" level="32767"/>
    <cacheField name="[Sheet1].[PaymentMethod].[PaymentMethod]" caption="PaymentMethod" numFmtId="0" hierarchy="7" level="1">
      <sharedItems count="5">
        <s v="Cash"/>
        <s v="Credit Card"/>
        <s v="Debit Card"/>
        <s v="Gift Card"/>
        <s v="Online"/>
      </sharedItems>
    </cacheField>
  </cacheFields>
  <cacheHierarchies count="26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ID]" caption="Count of CustomerID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UnitPrice]" caption="Sum of UnitPrice" measure="1" displayFolder="" measureGroup="Sheet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]" caption="Count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54.507572916664" backgroundQuery="1" createdVersion="8" refreshedVersion="8" minRefreshableVersion="3" recordCount="0" supportSubquery="1" supportAdvancedDrill="1" xr:uid="{81D40DD5-9C19-46B2-8564-61E4E27CF1AB}">
  <cacheSource type="external" connectionId="2"/>
  <cacheFields count="3">
    <cacheField name="[Measures].[Sum of TotalPrice]" caption="Sum of TotalPrice" numFmtId="0" hierarchy="20" level="32767"/>
    <cacheField name="[Measures].[Sum of Quantity]" caption="Sum of Quantity" numFmtId="0" hierarchy="21" level="32767"/>
    <cacheField name="[Measures].[Count of CustomerID]" caption="Count of CustomerID" numFmtId="0" hierarchy="22" level="32767"/>
  </cacheFields>
  <cacheHierarchies count="26"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ID]" caption="Count of CustomerID" measure="1" displayFolder="" measureGroup="Sheet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UnitPrice]" caption="Sum of UnitPrice" measure="1" displayFolder="" measureGroup="Sheet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]" caption="Count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54.874606481484" backgroundQuery="1" createdVersion="8" refreshedVersion="8" minRefreshableVersion="3" recordCount="0" supportSubquery="1" supportAdvancedDrill="1" xr:uid="{B2681BEF-9776-4F0C-A477-86CE8E98A13A}">
  <cacheSource type="external" connectionId="2"/>
  <cacheFields count="6">
    <cacheField name="[Sheet1].[OrderID].[OrderID]" caption="OrderID" numFmtId="0" level="1">
      <sharedItems count="10">
        <s v="ORD200107"/>
        <s v="ORD200326"/>
        <s v="ORD200328"/>
        <s v="ORD200463"/>
        <s v="ORD200469"/>
        <s v="ORD200632"/>
        <s v="ORD200789"/>
        <s v="ORD201031"/>
        <s v="ORD201065"/>
        <s v="ORD201122"/>
      </sharedItems>
    </cacheField>
    <cacheField name="[Sheet1].[CustomerID].[CustomerID]" caption="CustomerID" numFmtId="0" hierarchy="2" level="1">
      <sharedItems count="5">
        <s v="C13877"/>
        <s v="C18404"/>
        <s v="C38840"/>
        <s v="C57276"/>
        <s v="C67260"/>
      </sharedItems>
    </cacheField>
    <cacheField name="[Sheet1].[UnitPrice].[UnitPrice]" caption="UnitPrice" numFmtId="0" hierarchy="5" level="1">
      <sharedItems containsSemiMixedTypes="0" containsString="0" containsNumber="1" minValue="629.34" maxValue="691.28" count="5">
        <n v="629.34"/>
        <n v="676.98"/>
        <n v="678.16"/>
        <n v="678.19"/>
        <n v="691.28"/>
      </sharedItems>
    </cacheField>
    <cacheField name="[Sheet1].[OrderStatus].[OrderStatus]" caption="OrderStatus" numFmtId="0" hierarchy="8" level="1">
      <sharedItems count="5">
        <s v="Cancelled"/>
        <s v="Delivered"/>
        <s v="Pending"/>
        <s v="Returned"/>
        <s v="Shipped"/>
      </sharedItems>
    </cacheField>
    <cacheField name="[Measures].[Sum of Quantity]" caption="Sum of Quantity" numFmtId="0" hierarchy="21" level="32767"/>
    <cacheField name="[Measures].[Sum of TotalPrice]" caption="Sum of TotalPrice" numFmtId="0" hierarchy="20" level="32767"/>
  </cacheFields>
  <cacheHierarchies count="26">
    <cacheHierarchy uniqueName="[Sheet1].[OrderID]" caption="OrderID" attribute="1" defaultMemberUniqueName="[Sheet1].[OrderID].[All]" allUniqueName="[Sheet1].[OrderID].[All]" dimensionUniqueName="[Sheet1]" displayFolder="" count="2" memberValueDatatype="130" unbalanced="0">
      <fieldsUsage count="2">
        <fieldUsage x="-1"/>
        <fieldUsage x="0"/>
      </fieldsUsage>
    </cacheHierarchy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2" memberValueDatatype="5" unbalanced="0">
      <fieldsUsage count="2">
        <fieldUsage x="-1"/>
        <fieldUsage x="2"/>
      </fieldsUsage>
    </cacheHierarchy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2" memberValueDatatype="130" unbalanced="0">
      <fieldsUsage count="2">
        <fieldUsage x="-1"/>
        <fieldUsage x="3"/>
      </fieldsUsage>
    </cacheHierarchy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__XL_Count Sheet1]" caption="__XL_Count Sheet1" measure="1" displayFolder="" measureGroup="Sheet1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Sheet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Sheet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ustomerID]" caption="Count of CustomerID" measure="1" displayFolder="" measureGroup="Sheet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ReferralSource]" caption="Count of ReferralSource" measure="1" displayFolder="" measureGroup="Sheet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UnitPrice]" caption="Sum of UnitPrice" measure="1" displayFolder="" measureGroup="Sheet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Quantity]" caption="Count of Quantity" measure="1" displayFolder="" measureGroup="Sheet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Sheet1" uniqueName="[Sheet1]" caption="Sheet1"/>
  </dimensions>
  <measureGroups count="1">
    <measureGroup name="Sheet1" caption="Sheet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9CB1A-E632-4599-97A1-CF6407D7A6F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3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TotalPrice" fld="0" baseField="0" baseItem="0"/>
    <dataField name="Sum of Quantity" fld="1" baseField="0" baseItem="0"/>
    <dataField name="Count of CustomerID" fld="2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2565F-0A68-4C29-A2B0-23D5F34E70DE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upon code">
  <location ref="H7:I11" firstHeaderRow="1" firstDataRow="1" firstDataCol="1"/>
  <pivotFields count="8"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sortType="de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measureFilter="1" includeNewItemsIn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7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TotalPrice" fld="0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 includeNewItemsInFilter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3">
    <filter fld="1" type="count" id="1" iMeasureHier="20">
      <autoFilter ref="A1">
        <filterColumn colId="0">
          <top10 val="10" filterVal="10"/>
        </filterColumn>
      </autoFilter>
    </filter>
    <filter fld="2" type="count" id="2" iMeasureHier="20">
      <autoFilter ref="A1">
        <filterColumn colId="0">
          <top10 val="5" filterVal="5"/>
        </filterColumn>
      </autoFilter>
    </filter>
    <filter fld="5" type="count" id="3" iMeasureHier="20">
      <autoFilter ref="A1">
        <filterColumn colId="0">
          <top10 val="5" filterVal="5"/>
        </filterColumn>
      </autoFilter>
    </filter>
  </filter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A5691-5787-4305-A457-5AB0EDBC510E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ID">
  <location ref="E6:F12" firstHeaderRow="1" firstDataRow="1" firstDataCol="1"/>
  <pivotFields count="3"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6">
    <i>
      <x v="2"/>
    </i>
    <i>
      <x v="3"/>
    </i>
    <i>
      <x v="4"/>
    </i>
    <i>
      <x/>
    </i>
    <i>
      <x v="1"/>
    </i>
    <i t="grand">
      <x/>
    </i>
  </rowItems>
  <colItems count="1">
    <i/>
  </colItems>
  <dataFields count="1">
    <dataField name="Sum of TotalPrice" fld="0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1" type="count" id="1" iMeasureHier="20">
      <autoFilter ref="A1">
        <filterColumn colId="0">
          <top10 val="10" filterVal="10"/>
        </filterColumn>
      </autoFilter>
    </filter>
    <filter fld="2" type="count" id="2" iMeasureHier="20">
      <autoFilter ref="A1">
        <filterColumn colId="0">
          <top10 val="5" filterVal="5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4582B-DDC9-4B55-863E-D969B1CD97B7}" name="PivotTable6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no." colHeaderCaption="Unit price">
  <location ref="D15:I18" firstHeaderRow="1" firstDataRow="2" firstDataCol="1"/>
  <pivotFields count="7"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sortType="de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measureFilter="1" includeNewItemsInFilter="1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5"/>
  </rowFields>
  <rowItems count="2">
    <i>
      <x/>
    </i>
    <i>
      <x v="1"/>
    </i>
  </rowItems>
  <colFields count="1">
    <field x="6"/>
  </colFields>
  <colItems count="5">
    <i>
      <x/>
    </i>
    <i>
      <x v="1"/>
    </i>
    <i>
      <x v="2"/>
    </i>
    <i>
      <x v="3"/>
    </i>
    <i>
      <x v="4"/>
    </i>
  </colItems>
  <dataFields count="1">
    <dataField name="Sum of TotalPrice" fld="0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 includeNewItemsInFilter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3">
    <filter fld="1" type="count" id="1" iMeasureHier="20">
      <autoFilter ref="A1">
        <filterColumn colId="0">
          <top10 val="10" filterVal="10"/>
        </filterColumn>
      </autoFilter>
    </filter>
    <filter fld="2" type="count" id="2" iMeasureHier="20">
      <autoFilter ref="A1">
        <filterColumn colId="0">
          <top10 val="5" filterVal="5"/>
        </filterColumn>
      </autoFilter>
    </filter>
    <filter fld="6" type="count" id="3" iMeasureHier="20">
      <autoFilter ref="A1">
        <filterColumn colId="0">
          <top10 val="5" filterVal="5"/>
        </filterColumn>
      </autoFilter>
    </filter>
  </filters>
  <rowHierarchiesUsage count="1">
    <rowHierarchyUsage hierarchyUsage="4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5F980-B277-42F6-B2EF-790B49BB9C5B}" name="PivotTable5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Month">
  <location ref="A20:B32" firstHeaderRow="1" firstDataRow="1" firstDataCol="1"/>
  <pivotFields count="5"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12">
    <i>
      <x v="5"/>
    </i>
    <i>
      <x v="4"/>
    </i>
    <i>
      <x/>
    </i>
    <i>
      <x v="2"/>
    </i>
    <i>
      <x v="1"/>
    </i>
    <i>
      <x v="3"/>
    </i>
    <i>
      <x v="9"/>
    </i>
    <i>
      <x v="7"/>
    </i>
    <i>
      <x v="6"/>
    </i>
    <i>
      <x v="11"/>
    </i>
    <i>
      <x v="10"/>
    </i>
    <i>
      <x v="8"/>
    </i>
  </rowItems>
  <colItems count="1">
    <i/>
  </colItems>
  <dataFields count="1">
    <dataField name="Sum of TotalPrice" fld="0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1" type="count" id="1" iMeasureHier="20">
      <autoFilter ref="A1">
        <filterColumn colId="0">
          <top10 val="10" filterVal="10"/>
        </filterColumn>
      </autoFilter>
    </filter>
    <filter fld="2" type="count" id="2" iMeasureHier="20">
      <autoFilter ref="A1">
        <filterColumn colId="0">
          <top10 val="5" filterVal="5"/>
        </filterColumn>
      </autoFilter>
    </filter>
  </filters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A3B43-22A7-40B9-9433-D6AC8310AF12}" name="PivotTable4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Year">
  <location ref="A14:B17" firstHeaderRow="1" firstDataRow="1" firstDataCol="1"/>
  <pivotFields count="4"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Sum of TotalPrice" fld="0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1" type="count" id="1" iMeasureHier="20">
      <autoFilter ref="A1">
        <filterColumn colId="0">
          <top10 val="10" filterVal="10"/>
        </filterColumn>
      </autoFilter>
    </filter>
    <filter fld="2" type="count" id="2" iMeasureHier="20">
      <autoFilter ref="A1">
        <filterColumn colId="0">
          <top10 val="5" filterVal="5"/>
        </filterColumn>
      </autoFilter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1F2AF-8D42-4DC7-A805-5B7D5AA8557C}" name="PivotTable7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roduct">
  <location ref="D22:E29" firstHeaderRow="1" firstDataRow="1" firstDataCol="1"/>
  <pivotFields count="7"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sortType="de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measureFilter="1" includeNewItemsIn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7">
    <i>
      <x/>
    </i>
    <i>
      <x v="5"/>
    </i>
    <i>
      <x v="2"/>
    </i>
    <i>
      <x v="6"/>
    </i>
    <i>
      <x v="3"/>
    </i>
    <i>
      <x v="1"/>
    </i>
    <i>
      <x v="4"/>
    </i>
  </rowItems>
  <colItems count="1">
    <i/>
  </colItems>
  <dataFields count="1">
    <dataField name="Sum of TotalPrice" fld="0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 includeNewItemsInFilter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3">
    <filter fld="1" type="count" id="1" iMeasureHier="20">
      <autoFilter ref="A1">
        <filterColumn colId="0">
          <top10 val="10" filterVal="10"/>
        </filterColumn>
      </autoFilter>
    </filter>
    <filter fld="2" type="count" id="2" iMeasureHier="20">
      <autoFilter ref="A1">
        <filterColumn colId="0">
          <top10 val="5" filterVal="5"/>
        </filterColumn>
      </autoFilter>
    </filter>
    <filter fld="5" type="count" id="3" iMeasureHier="20">
      <autoFilter ref="A1">
        <filterColumn colId="0">
          <top10 val="5" filterVal="5"/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D73D4-7F98-4069-95DE-A5F4AD39CFA4}" name="PivotTable2" cacheId="6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outline="1" outlineData="1" multipleFieldFilters="0" rowHeaderCaption="Payment method">
  <location ref="A6:C11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2"/>
  </rowFields>
  <rowItems count="5">
    <i>
      <x v="4"/>
    </i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Sum of TotalPrice" fld="0" baseField="0" baseItem="0"/>
    <dataField name="Count of CustomerID" fld="1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20745-2AD7-449F-A60A-46572BC4CF57}" name="PivotTable10" cacheId="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OrderStatus">
  <location ref="G22:I28" firstHeaderRow="0" firstDataRow="1" firstDataCol="1"/>
  <pivotFields count="6"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measureFilter="1" includeNewItemsIn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3"/>
  </rowFields>
  <rowItems count="6">
    <i>
      <x/>
    </i>
    <i>
      <x v="2"/>
    </i>
    <i>
      <x v="1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3" baseItem="0"/>
    <dataField name="Sum of TotalPrice" fld="5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 includeNewItemsInFilter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Sum of Quantity"/>
    <pivotHierarchy dragToData="1"/>
    <pivotHierarchy dragToData="1"/>
    <pivotHierarchy dragToData="1"/>
    <pivotHierarchy dragToData="1" caption="Count of Quantity"/>
  </pivotHierarchies>
  <pivotTableStyleInfo name="PivotStyleLight16" showRowHeaders="1" showColHeaders="1" showRowStripes="0" showColStripes="0" showLastColumn="1"/>
  <filters count="3">
    <filter fld="0" type="count" id="1" iMeasureHier="20">
      <autoFilter ref="A1">
        <filterColumn colId="0">
          <top10 val="10" filterVal="10"/>
        </filterColumn>
      </autoFilter>
    </filter>
    <filter fld="1" type="count" id="2" iMeasureHier="20">
      <autoFilter ref="A1">
        <filterColumn colId="0">
          <top10 val="5" filterVal="5"/>
        </filterColumn>
      </autoFilter>
    </filter>
    <filter fld="2" type="count" id="3" iMeasureHier="20">
      <autoFilter ref="A1">
        <filterColumn colId="0">
          <top10 val="5" filterVal="5"/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heet1"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preserveFormatting="0" connectionId="1" xr16:uid="{A54D4A96-6819-479A-BF3D-42EDD90F0955}" autoFormatId="1" applyNumberFormats="0" applyBorderFormats="1" applyFontFormats="1" applyPatternFormats="1" applyAlignmentFormats="1" applyWidthHeightFormats="0">
  <queryTableRefresh nextId="18" unboundColumnsRight="1">
    <queryTableFields count="15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A3484-58F9-4B10-ACAC-AED38B2A27B2}" name="Sheet1" displayName="Sheet1" ref="A1:O1202" tableType="queryTable" totalsRowCount="1">
  <autoFilter ref="A1:O1201" xr:uid="{68EA3484-58F9-4B10-ACAC-AED38B2A27B2}"/>
  <tableColumns count="15">
    <tableColumn id="1" xr3:uid="{8CF35893-8EBE-412D-B262-477C9E90B95A}" uniqueName="1" name="OrderID" queryTableFieldId="1" dataDxfId="11"/>
    <tableColumn id="2" xr3:uid="{725D6C2F-8620-4943-9002-257B8E4E7882}" uniqueName="2" name="Date" queryTableFieldId="2" dataDxfId="10" totalsRowDxfId="9"/>
    <tableColumn id="3" xr3:uid="{9795F92B-5BEE-404B-B495-D8FD12DA35EC}" uniqueName="3" name="CustomerID" queryTableFieldId="3" dataDxfId="8"/>
    <tableColumn id="4" xr3:uid="{232935D0-52D0-436A-BA64-8311083A2CDC}" uniqueName="4" name="Product" queryTableFieldId="4" dataDxfId="7"/>
    <tableColumn id="5" xr3:uid="{5A5D7EA0-1481-43E9-92C2-ACB455E2063A}" uniqueName="5" name="Quantity" queryTableFieldId="5"/>
    <tableColumn id="6" xr3:uid="{F6E6F859-35B2-431D-A9F0-1821F1A50F9D}" uniqueName="6" name="UnitPrice" queryTableFieldId="6"/>
    <tableColumn id="7" xr3:uid="{99FA483C-EA23-4C19-8EF7-FF0CE89CB940}" uniqueName="7" name="ShippingAddress" queryTableFieldId="7" dataDxfId="6"/>
    <tableColumn id="8" xr3:uid="{88270C51-F9D5-4E6D-9C1E-7AC9AA6956AA}" uniqueName="8" name="PaymentMethod" queryTableFieldId="8" dataDxfId="5"/>
    <tableColumn id="9" xr3:uid="{82E9271A-0FFF-4B11-9B4B-931916FC3297}" uniqueName="9" name="OrderStatus" queryTableFieldId="9" dataDxfId="4"/>
    <tableColumn id="10" xr3:uid="{2E6CDC39-CB28-43CF-B404-7B187FB9EB64}" uniqueName="10" name="TrackingNumber" queryTableFieldId="10" dataDxfId="3"/>
    <tableColumn id="11" xr3:uid="{D23238CB-C06D-489D-8DC5-F7F4C62EEFC5}" uniqueName="11" name="ItemsInCart" queryTableFieldId="11"/>
    <tableColumn id="12" xr3:uid="{3F14A08D-4536-496C-9B7E-01BC4170471E}" uniqueName="12" name="CouponCode" queryTableFieldId="12" dataDxfId="2"/>
    <tableColumn id="13" xr3:uid="{A493E1B2-2445-4CFC-882C-9FA2E833A96E}" uniqueName="13" name="ReferralSource" queryTableFieldId="13" dataDxfId="1"/>
    <tableColumn id="14" xr3:uid="{BC36763E-438B-4588-A2DE-F79D631697C0}" uniqueName="14" name="TotalPrice" queryTableFieldId="14"/>
    <tableColumn id="15" xr3:uid="{79A75D0B-EC59-42BE-822C-EC54A7130A1F}" uniqueName="15" name="Column1" queryTableFieldId="15" dataDxfId="0">
      <calculatedColumnFormula>IF(OR($N2&lt;EDA_Summary!$B$14,$N2&gt;EDA_Summary!$B$15), "Outlier", "Normal")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2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39B5811-B3F6-49F5-99B3-0322AA0E3245}">
  <we:reference id="wa200010884" version="1.0.0.2" store="en-US" storeType="OMEX"/>
  <we:alternateReferences>
    <we:reference id="WA200010884" version="1.0.0.2" store="WA200010884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_xldudf_STAT_ACF</we:customFunctionIds>
        <we:customFunctionIds>_xldudf_STAT_ACOVF</we:customFunctionIds>
        <we:customFunctionIds>_xldudf_STAT_ADFULLER</we:customFunctionIds>
        <we:customFunctionIds>_xldudf_STAT_ALEXANDERGOVERN</we:customFunctionIds>
        <we:customFunctionIds>_xldudf_STAT_ANDERSON_KSAMP</we:customFunctionIds>
        <we:customFunctionIds>_xldudf_STAT_ANOVA</we:customFunctionIds>
        <we:customFunctionIds>_xldudf_STAT_ANSARI</we:customFunctionIds>
        <we:customFunctionIds>_xldudf_STAT_ARIMA_FORECAST</we:customFunctionIds>
        <we:customFunctionIds>_xldudf_STAT_ARMA_ORDER_IC</we:customFunctionIds>
        <we:customFunctionIds>_xldudf_STAT_BARNARD_EXACT</we:customFunctionIds>
        <we:customFunctionIds>_xldudf_STAT_BARTLETT</we:customFunctionIds>
        <we:customFunctionIds>_xldudf_STAT_BAYES_MVS_CI</we:customFunctionIds>
        <we:customFunctionIds>_xldudf_STAT_BB_LOGBETA</we:customFunctionIds>
        <we:customFunctionIds>_xldudf_STAT_BB_POST_UPDATE</we:customFunctionIds>
        <we:customFunctionIds>_xldudf_STAT_BB_QBETA</we:customFunctionIds>
        <we:customFunctionIds>_xldudf_STAT_BERNOULLI</we:customFunctionIds>
        <we:customFunctionIds>_xldudf_STAT_BETA</we:customFunctionIds>
        <we:customFunctionIds>_xldudf_STAT_BETA_CI_BOUNDS</we:customFunctionIds>
        <we:customFunctionIds>_xldudf_STAT_BETABINOM</we:customFunctionIds>
        <we:customFunctionIds>_xldudf_STAT_BETANBINOM</we:customFunctionIds>
        <we:customFunctionIds>_xldudf_STAT_BINNED_STATISTIC</we:customFunctionIds>
        <we:customFunctionIds>_xldudf_STAT_BINNED_STATISTIC_2D</we:customFunctionIds>
        <we:customFunctionIds>_xldudf_STAT_BINOM</we:customFunctionIds>
        <we:customFunctionIds>_xldudf_STAT_BINOMTEST</we:customFunctionIds>
        <we:customFunctionIds>_xldudf_STAT_BOLTZMANN</we:customFunctionIds>
        <we:customFunctionIds>_xldudf_STAT_BOSCHLOO_EXACT</we:customFunctionIds>
        <we:customFunctionIds>_xldudf_STAT_BRUNNERMUNZEL</we:customFunctionIds>
        <we:customFunctionIds>_xldudf_STAT_BWS_TEST</we:customFunctionIds>
        <we:customFunctionIds>_xldudf_STAT_CANCORR</we:customFunctionIds>
        <we:customFunctionIds>_xldudf_STAT_CAUCHY</we:customFunctionIds>
        <we:customFunctionIds>_xldudf_STAT_CCF</we:customFunctionIds>
        <we:customFunctionIds>_xldudf_STAT_CCOVF</we:customFunctionIds>
        <we:customFunctionIds>_xldudf_STAT_CHI2_CONTINGENCY</we:customFunctionIds>
        <we:customFunctionIds>_xldudf_STAT_CHISQ</we:customFunctionIds>
        <we:customFunctionIds>_xldudf_STAT_COX_HAZARDS</we:customFunctionIds>
        <we:customFunctionIds>_xldudf_STAT_CRONBACH_ALPHA</we:customFunctionIds>
        <we:customFunctionIds>_xldudf_STAT_CUMFREQ</we:customFunctionIds>
        <we:customFunctionIds>_xldudf_STAT_CVM_2SAMP</we:customFunctionIds>
        <we:customFunctionIds>_xldudf_STAT_DESCRIBE</we:customFunctionIds>
        <we:customFunctionIds>_xldudf_STAT_DETREND</we:customFunctionIds>
        <we:customFunctionIds>_xldudf_STAT_DIRICHLET</we:customFunctionIds>
        <we:customFunctionIds>_xldudf_STAT_DIRICHLET_MULTINOM</we:customFunctionIds>
        <we:customFunctionIds>_xldudf_STAT_DISTANCE_CORR</we:customFunctionIds>
        <we:customFunctionIds>_xldudf_STAT_DLAPLACE</we:customFunctionIds>
        <we:customFunctionIds>_xldudf_STAT_DM_CRED_INT</we:customFunctionIds>
        <we:customFunctionIds>_xldudf_STAT_DM_DIRICHLET_SUM</we:customFunctionIds>
        <we:customFunctionIds>_xldudf_STAT_DM_LOGBETA</we:customFunctionIds>
        <we:customFunctionIds>_xldudf_STAT_DM_LOGSUM_NORM</we:customFunctionIds>
        <we:customFunctionIds>_xldudf_STAT_DM_POST_UPDATE</we:customFunctionIds>
        <we:customFunctionIds>_xldudf_STAT_DM_PREDICTIVE</we:customFunctionIds>
        <we:customFunctionIds>_xldudf_STAT_DUNNETT</we:customFunctionIds>
        <we:customFunctionIds>_xldudf_STAT_EMA_LFILTER</we:customFunctionIds>
        <we:customFunctionIds>_xldudf_STAT_EMA_PERIOD</we:customFunctionIds>
        <we:customFunctionIds>_xldudf_STAT_EPPS_SINGLE_2SAMP</we:customFunctionIds>
        <we:customFunctionIds>_xldudf_STAT_EXP_SURVIVAL_REG</we:customFunctionIds>
        <we:customFunctionIds>_xldudf_STAT_EXPECTILE</we:customFunctionIds>
        <we:customFunctionIds>_xldudf_STAT_EXPON</we:customFunctionIds>
        <we:customFunctionIds>_xldudf_STAT_F_DIST</we:customFunctionIds>
        <we:customFunctionIds>_xldudf_STAT_F_ONEWAY</we:customFunctionIds>
        <we:customFunctionIds>_xldudf_STAT_FACTOR_ANALYSIS</we:customFunctionIds>
        <we:customFunctionIds>_xldudf_STAT_FISHER_EXACT</we:customFunctionIds>
        <we:customFunctionIds>_xldudf_STAT_FLIGNER</we:customFunctionIds>
        <we:customFunctionIds>_xldudf_STAT_FRIEDMANCHISQUARE</we:customFunctionIds>
        <we:customFunctionIds>_xldudf_STAT_GAMESHOWELL</we:customFunctionIds>
        <we:customFunctionIds>_xldudf_STAT_GAMMA_CI_BOUNDS</we:customFunctionIds>
        <we:customFunctionIds>_xldudf_STAT_GAMMA_POST_Q</we:customFunctionIds>
        <we:customFunctionIds>_xldudf_STAT_GEE_MODEL</we:customFunctionIds>
        <we:customFunctionIds>_xldudf_STAT_GEOM</we:customFunctionIds>
        <we:customFunctionIds>_xldudf_STAT_GLM_BINOMIAL</we:customFunctionIds>
        <we:customFunctionIds>_xldudf_STAT_GLM_GAMMA</we:customFunctionIds>
        <we:customFunctionIds>_xldudf_STAT_GLM_INV_GAUSS</we:customFunctionIds>
        <we:customFunctionIds>_xldudf_STAT_GLM_NEG_BINOM</we:customFunctionIds>
        <we:customFunctionIds>_xldudf_STAT_GLM_POISSON</we:customFunctionIds>
        <we:customFunctionIds>_xldudf_STAT_GLM_TWEEDIE</we:customFunctionIds>
        <we:customFunctionIds>_xldudf_STAT_GLMM_BINOMIAL</we:customFunctionIds>
        <we:customFunctionIds>_xldudf_STAT_GLMM_POISSON</we:customFunctionIds>
        <we:customFunctionIds>_xldudf_STAT_GLS_REGRESSION</we:customFunctionIds>
        <we:customFunctionIds>_xldudf_STAT_GMEAN</we:customFunctionIds>
        <we:customFunctionIds>_xldudf_STAT_HANNAN_RISSANEN</we:customFunctionIds>
        <we:customFunctionIds>_xldudf_STAT_HMEAN</we:customFunctionIds>
        <we:customFunctionIds>_xldudf_STAT_HOLT_FORECAST</we:customFunctionIds>
        <we:customFunctionIds>_xldudf_STAT_HOMOSCEDASTICITY</we:customFunctionIds>
        <we:customFunctionIds>_xldudf_STAT_HURDLE_COUNT_MODEL</we:customFunctionIds>
        <we:customFunctionIds>_xldudf_STAT_HW_FORECAST</we:customFunctionIds>
        <we:customFunctionIds>_xldudf_STAT_HYPERGEOM</we:customFunctionIds>
        <we:customFunctionIds>_xldudf_STAT_INFLUENCE_DIAG</we:customFunctionIds>
        <we:customFunctionIds>_xldudf_STAT_INNOVATIONS_MLE</we:customFunctionIds>
        <we:customFunctionIds>_xldudf_STAT_INVGAMMA_CI_BOUNDS</we:customFunctionIds>
        <we:customFunctionIds>_xldudf_STAT_INVGAMMA_POST_Q</we:customFunctionIds>
        <we:customFunctionIds>_xldudf_STAT_JARQUE_BERA</we:customFunctionIds>
        <we:customFunctionIds>_xldudf_STAT_KAPLAN_MEIER</we:customFunctionIds>
        <we:customFunctionIds>_xldudf_STAT_KENDALLTAU</we:customFunctionIds>
        <we:customFunctionIds>_xldudf_STAT_KPSS</we:customFunctionIds>
        <we:customFunctionIds>_xldudf_STAT_KRUSKAL</we:customFunctionIds>
        <we:customFunctionIds>_xldudf_STAT_KS_2SAMP</we:customFunctionIds>
        <we:customFunctionIds>_xldudf_STAT_KSTEST</we:customFunctionIds>
        <we:customFunctionIds>_xldudf_STAT_KURTOSIS</we:customFunctionIds>
        <we:customFunctionIds>_xldudf_STAT_KURTOSISTEST</we:customFunctionIds>
        <we:customFunctionIds>_xldudf_STAT_LAPLACE</we:customFunctionIds>
        <we:customFunctionIds>_xldudf_STAT_LEVENE</we:customFunctionIds>
        <we:customFunctionIds>_xldudf_STAT_LINREGRESS</we:customFunctionIds>
        <we:customFunctionIds>_xldudf_STAT_LOGIT_MODEL</we:customFunctionIds>
        <we:customFunctionIds>_xldudf_STAT_LOGNORM</we:customFunctionIds>
        <we:customFunctionIds>_xldudf_STAT_LOGSER</we:customFunctionIds>
        <we:customFunctionIds>_xldudf_STAT_MANNWHITNEYU</we:customFunctionIds>
        <we:customFunctionIds>_xldudf_STAT_MANOVA_TEST</we:customFunctionIds>
        <we:customFunctionIds>_xldudf_STAT_MATRIX_NORMAL</we:customFunctionIds>
        <we:customFunctionIds>_xldudf_STAT_MEDIAN_TEST</we:customFunctionIds>
        <we:customFunctionIds>_xldudf_STAT_MEDIATION_ANALYSIS</we:customFunctionIds>
        <we:customFunctionIds>_xldudf_STAT_MIXED_ANOVA</we:customFunctionIds>
        <we:customFunctionIds>_xldudf_STAT_MIXED_LINEAR_MODEL</we:customFunctionIds>
        <we:customFunctionIds>_xldudf_STAT_MODE</we:customFunctionIds>
        <we:customFunctionIds>_xldudf_STAT_MOMENT</we:customFunctionIds>
        <we:customFunctionIds>_xldudf_STAT_MOOD</we:customFunctionIds>
        <we:customFunctionIds>_xldudf_STAT_MSTL</we:customFunctionIds>
        <we:customFunctionIds>_xldudf_STAT_MULTINOMIAL</we:customFunctionIds>
        <we:customFunctionIds>_xldudf_STAT_MULTINOMIAL_LOGIT</we:customFunctionIds>
        <we:customFunctionIds>_xldudf_STAT_MULTISCALE_GRAPH</we:customFunctionIds>
        <we:customFunctionIds>_xldudf_STAT_MULTIVARIATE_NORMAL</we:customFunctionIds>
        <we:customFunctionIds>_xldudf_STAT_MULTIVARIATE_T</we:customFunctionIds>
        <we:customFunctionIds>_xldudf_STAT_MV_HYPERGEOM</we:customFunctionIds>
        <we:customFunctionIds>_xldudf_STAT_MVSDIST_CI</we:customFunctionIds>
        <we:customFunctionIds>_xldudf_STAT_NBINOM</we:customFunctionIds>
        <we:customFunctionIds>_xldudf_STAT_NHYPERGEOM</we:customFunctionIds>
        <we:customFunctionIds>_xldudf_STAT_NIG_POST_UPDATE</we:customFunctionIds>
        <we:customFunctionIds>_xldudf_STAT_NN_POST_UPDATE</we:customFunctionIds>
        <we:customFunctionIds>_xldudf_STAT_NORM</we:customFunctionIds>
        <we:customFunctionIds>_xldudf_STAT_NORMALITY</we:customFunctionIds>
        <we:customFunctionIds>_xldudf_STAT_NORMALTEST</we:customFunctionIds>
        <we:customFunctionIds>_xldudf_STAT_OLS_DIAGNOSTICS</we:customFunctionIds>
        <we:customFunctionIds>_xldudf_STAT_OLS_REGRESSION</we:customFunctionIds>
        <we:customFunctionIds>_xldudf_STAT_ORDERED_LOGIT</we:customFunctionIds>
        <we:customFunctionIds>_xldudf_STAT_ORTHO_GROUP</we:customFunctionIds>
        <we:customFunctionIds>_xldudf_STAT_PACF</we:customFunctionIds>
        <we:customFunctionIds>_xldudf_STAT_PAGE_TREND_TEST</we:customFunctionIds>
        <we:customFunctionIds>_xldudf_STAT_PAIRWISE_TUKEY</we:customFunctionIds>
        <we:customFunctionIds>_xldudf_STAT_PARETO</we:customFunctionIds>
        <we:customFunctionIds>_xldudf_STAT_PARTIAL_CORR</we:customFunctionIds>
        <we:customFunctionIds>_xldudf_STAT_PCA_ANALYSIS</we:customFunctionIds>
        <we:customFunctionIds>_xldudf_STAT_PEARSONR</we:customFunctionIds>
        <we:customFunctionIds>_xldudf_STAT_PERCENTILEOFSCORE</we:customFunctionIds>
        <we:customFunctionIds>_xldudf_STAT_PERIODOGRAM</we:customFunctionIds>
        <we:customFunctionIds>_xldudf_STAT_PLANCK</we:customFunctionIds>
        <we:customFunctionIds>_xldudf_STAT_PMEAN</we:customFunctionIds>
        <we:customFunctionIds>_xldudf_STAT_POINTBISERIALR</we:customFunctionIds>
        <we:customFunctionIds>_xldudf_STAT_POISSON_DIST</we:customFunctionIds>
        <we:customFunctionIds>_xldudf_STAT_POISSON_MEANS_TEST</we:customFunctionIds>
        <we:customFunctionIds>_xldudf_STAT_POSTERIOR_BMV</we:customFunctionIds>
        <we:customFunctionIds>_xldudf_STAT_POSTERIOR_ENTROPY</we:customFunctionIds>
        <we:customFunctionIds>_xldudf_STAT_POSTERIOR_LOGSUMEXP</we:customFunctionIds>
        <we:customFunctionIds>_xldudf_STAT_POSTERIOR_MAP</we:customFunctionIds>
        <we:customFunctionIds>_xldudf_STAT_POSTERIOR_TAILPROB</we:customFunctionIds>
        <we:customFunctionIds>_xldudf_STAT_POSTERIOR_WMEANVAR</we:customFunctionIds>
        <we:customFunctionIds>_xldudf_STAT_POSTERIOR_XLOGY</we:customFunctionIds>
        <we:customFunctionIds>_xldudf_STAT_PROBIT_MODEL</we:customFunctionIds>
        <we:customFunctionIds>_xldudf_STAT_Q_STAT</we:customFunctionIds>
        <we:customFunctionIds>_xldudf_STAT_QUANTILE_REGRESSION</we:customFunctionIds>
        <we:customFunctionIds>_xldudf_STAT_QUANTILE_TEST</we:customFunctionIds>
        <we:customFunctionIds>_xldudf_STAT_RANDINT</we:customFunctionIds>
        <we:customFunctionIds>_xldudf_STAT_RANDOM_CORRELATION</we:customFunctionIds>
        <we:customFunctionIds>_xldudf_STAT_RANKSUMS</we:customFunctionIds>
        <we:customFunctionIds>_xldudf_STAT_REGRESS_DIAG</we:customFunctionIds>
        <we:customFunctionIds>_xldudf_STAT_RELFREQ</we:customFunctionIds>
        <we:customFunctionIds>_xldudf_STAT_RM_ANOVA</we:customFunctionIds>
        <we:customFunctionIds>_xldudf_STAT_ROBUST_LINEAR_MODEL</we:customFunctionIds>
        <we:customFunctionIds>_xldudf_STAT_RURTEST</we:customFunctionIds>
        <we:customFunctionIds>_xldudf_STAT_SAMPLE_EQTAIL_CI</we:customFunctionIds>
        <we:customFunctionIds>_xldudf_STAT_SAMPLE_HPD_CI</we:customFunctionIds>
        <we:customFunctionIds>_xldudf_STAT_SARIMAX_FORECAST</we:customFunctionIds>
        <we:customFunctionIds>_xldudf_STAT_SCOREATPERCENTILE</we:customFunctionIds>
        <we:customFunctionIds>_xldudf_STAT_SEASDECOMP</we:customFunctionIds>
        <we:customFunctionIds>_xldudf_STAT_SES_FORECAST</we:customFunctionIds>
        <we:customFunctionIds>_xldudf_STAT_SHAPIRO</we:customFunctionIds>
        <we:customFunctionIds>_xldudf_STAT_SIEGELSLOPES</we:customFunctionIds>
        <we:customFunctionIds>_xldudf_STAT_SKELLAM</we:customFunctionIds>
        <we:customFunctionIds>_xldudf_STAT_SKEWNESS</we:customFunctionIds>
        <we:customFunctionIds>_xldudf_STAT_SKEWTEST</we:customFunctionIds>
        <we:customFunctionIds>_xldudf_STAT_SMA_CONV</we:customFunctionIds>
        <we:customFunctionIds>_xldudf_STAT_SMA_CUMSUM</we:customFunctionIds>
        <we:customFunctionIds>_xldudf_STAT_SOMERSD</we:customFunctionIds>
        <we:customFunctionIds>_xldudf_STAT_SPEARMANR</we:customFunctionIds>
        <we:customFunctionIds>_xldudf_STAT_SPECIAL_ORTHO_GROUP</we:customFunctionIds>
        <we:customFunctionIds>_xldudf_STAT_SPECIFICATION_TESTS</we:customFunctionIds>
        <we:customFunctionIds>_xldudf_STAT_STL</we:customFunctionIds>
        <we:customFunctionIds>_xldudf_STAT_T_DIST</we:customFunctionIds>
        <we:customFunctionIds>_xldudf_STAT_THEILSLOPES</we:customFunctionIds>
        <we:customFunctionIds>_xldudf_STAT_TTEST_1SAMP</we:customFunctionIds>
        <we:customFunctionIds>_xldudf_STAT_TTEST_IND</we:customFunctionIds>
        <we:customFunctionIds>_xldudf_STAT_TTEST_IND_STATS</we:customFunctionIds>
        <we:customFunctionIds>_xldudf_STAT_UNIFORM</we:customFunctionIds>
        <we:customFunctionIds>_xldudf_STAT_UNIFORM_DIRECTION</we:customFunctionIds>
        <we:customFunctionIds>_xldudf_STAT_UNITARY_GROUP</we:customFunctionIds>
        <we:customFunctionIds>_xldudf_STAT_VAL_DISCRETE</we:customFunctionIds>
        <we:customFunctionIds>_xldudf_STAT_VONMISES_FISHER</we:customFunctionIds>
        <we:customFunctionIds>_xldudf_STAT_WEIBULL_MIN</we:customFunctionIds>
        <we:customFunctionIds>_xldudf_STAT_WEIGHTEDTAU</we:customFunctionIds>
        <we:customFunctionIds>_xldudf_STAT_WELCH</we:customFunctionIds>
        <we:customFunctionIds>_xldudf_STAT_WELCH_ANOVA</we:customFunctionIds>
        <we:customFunctionIds>_xldudf_STAT_WINMA_CONV</we:customFunctionIds>
        <we:customFunctionIds>_xldudf_STAT_WISHART</we:customFunctionIds>
        <we:customFunctionIds>_xldudf_STAT_WLS_REGRESSION</we:customFunctionIds>
        <we:customFunctionIds>_xldudf_STAT_WMA</we:customFunctionIds>
        <we:customFunctionIds>_xldudf_STAT_YULESIMON</we:customFunctionIds>
        <we:customFunctionIds>_xldudf_STAT_ZINB_MODEL</we:customFunctionIds>
        <we:customFunctionIds>_xldudf_STAT_ZIP_MODEL</we:customFunctionIds>
        <we:customFunctionIds>_xldudf_STAT_ZIPF</we:customFunctionIds>
        <we:customFunctionIds>_xldudf_STAT_ZIPFIAN</we:customFunctionIds>
        <we:customFunctionIds>_xldudf_STAT_ZIVOT_ANDREWS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A7C6-D3AC-4F1A-BB9D-9EC01531A1FE}">
  <dimension ref="A1:AB1202"/>
  <sheetViews>
    <sheetView tabSelected="1" zoomScale="90" zoomScaleNormal="90" workbookViewId="0">
      <selection activeCell="A6" sqref="A6"/>
    </sheetView>
  </sheetViews>
  <sheetFormatPr defaultRowHeight="15" x14ac:dyDescent="0.25"/>
  <cols>
    <col min="1" max="1" width="10.85546875" bestFit="1" customWidth="1"/>
    <col min="2" max="2" width="11.28515625" bestFit="1" customWidth="1"/>
    <col min="3" max="3" width="14.28515625" bestFit="1" customWidth="1"/>
    <col min="4" max="4" width="10.28515625" bestFit="1" customWidth="1"/>
    <col min="5" max="5" width="11" bestFit="1" customWidth="1"/>
    <col min="6" max="6" width="11.5703125" bestFit="1" customWidth="1"/>
    <col min="7" max="7" width="18.5703125" customWidth="1"/>
    <col min="8" max="8" width="18.140625" customWidth="1"/>
    <col min="9" max="9" width="14.140625" customWidth="1"/>
    <col min="10" max="10" width="18.140625" customWidth="1"/>
    <col min="11" max="11" width="14" bestFit="1" customWidth="1"/>
    <col min="12" max="12" width="15.42578125" bestFit="1" customWidth="1"/>
    <col min="13" max="13" width="17" bestFit="1" customWidth="1"/>
    <col min="14" max="14" width="13.28515625" bestFit="1" customWidth="1"/>
    <col min="15" max="15" width="11.5703125" bestFit="1" customWidth="1"/>
    <col min="16" max="16" width="11.140625" bestFit="1" customWidth="1"/>
    <col min="19" max="19" width="8.42578125" hidden="1" customWidth="1"/>
    <col min="20" max="20" width="0" hidden="1" customWidth="1"/>
    <col min="21" max="21" width="11.140625" hidden="1" customWidth="1"/>
    <col min="22" max="22" width="0" hidden="1" customWidth="1"/>
    <col min="24" max="24" width="11.140625" bestFit="1" customWidth="1"/>
    <col min="26" max="26" width="13.28515625" bestFit="1" customWidth="1"/>
    <col min="27" max="27" width="12.140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4329</v>
      </c>
      <c r="S1" t="s">
        <v>4</v>
      </c>
      <c r="T1" t="s">
        <v>5</v>
      </c>
      <c r="U1" t="s">
        <v>10</v>
      </c>
      <c r="V1" t="s">
        <v>13</v>
      </c>
    </row>
    <row r="2" spans="1:28" x14ac:dyDescent="0.25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  <c r="O2" t="str">
        <f>IF(OR($N2&lt;EDA_Summary!$B$14,$N2&gt;EDA_Summary!$B$15), "Outlier", "Normal")</f>
        <v>Normal</v>
      </c>
      <c r="S2">
        <v>5</v>
      </c>
      <c r="T2">
        <v>570.62</v>
      </c>
      <c r="U2">
        <v>7</v>
      </c>
      <c r="V2">
        <v>2853.1</v>
      </c>
    </row>
    <row r="3" spans="1:28" x14ac:dyDescent="0.25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  <c r="O3" t="str">
        <f>IF(OR($N3&lt;EDA_Summary!$B$14,$N3&gt;EDA_Summary!$B$15), "Outlier", "Normal")</f>
        <v>Normal</v>
      </c>
      <c r="S3">
        <v>2</v>
      </c>
      <c r="T3">
        <v>151.35</v>
      </c>
      <c r="U3">
        <v>3</v>
      </c>
      <c r="V3">
        <v>302.7</v>
      </c>
    </row>
    <row r="4" spans="1:28" x14ac:dyDescent="0.25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  <c r="O4" t="str">
        <f>IF(OR($N4&lt;EDA_Summary!$B$14,$N4&gt;EDA_Summary!$B$15), "Outlier", "Normal")</f>
        <v>Normal</v>
      </c>
      <c r="S4">
        <v>5</v>
      </c>
      <c r="T4">
        <v>550.67999999999995</v>
      </c>
      <c r="U4">
        <v>8</v>
      </c>
      <c r="V4">
        <v>2753.4</v>
      </c>
    </row>
    <row r="5" spans="1:28" ht="15.75" thickBot="1" x14ac:dyDescent="0.3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  <c r="O5" t="str">
        <f>IF(OR($N5&lt;EDA_Summary!$B$14,$N5&gt;EDA_Summary!$B$15), "Outlier", "Normal")</f>
        <v>Normal</v>
      </c>
      <c r="P5" s="8"/>
      <c r="Q5" s="8"/>
      <c r="R5" s="8"/>
      <c r="S5">
        <v>1</v>
      </c>
      <c r="T5">
        <v>273.19</v>
      </c>
      <c r="U5">
        <v>5</v>
      </c>
      <c r="V5">
        <v>273.19</v>
      </c>
    </row>
    <row r="6" spans="1:28" x14ac:dyDescent="0.25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  <c r="O6" t="str">
        <f>IF(OR($N6&lt;EDA_Summary!$B$14,$N6&gt;EDA_Summary!$B$15), "Outlier", "Normal")</f>
        <v>Normal</v>
      </c>
      <c r="S6">
        <v>4</v>
      </c>
      <c r="T6">
        <v>626.01</v>
      </c>
      <c r="U6">
        <v>8</v>
      </c>
      <c r="V6">
        <v>2504.04</v>
      </c>
      <c r="X6" s="7"/>
      <c r="Y6" s="7" t="s">
        <v>4</v>
      </c>
      <c r="Z6" s="7" t="s">
        <v>5</v>
      </c>
      <c r="AA6" s="7" t="s">
        <v>10</v>
      </c>
      <c r="AB6" s="7" t="s">
        <v>13</v>
      </c>
    </row>
    <row r="7" spans="1:28" x14ac:dyDescent="0.25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  <c r="O7" t="str">
        <f>IF(OR($N7&lt;EDA_Summary!$B$14,$N7&gt;EDA_Summary!$B$15), "Outlier", "Normal")</f>
        <v>Normal</v>
      </c>
      <c r="S7">
        <v>2</v>
      </c>
      <c r="T7">
        <v>245.86</v>
      </c>
      <c r="U7">
        <v>4</v>
      </c>
      <c r="V7">
        <v>491.72</v>
      </c>
      <c r="X7" s="8" t="s">
        <v>4</v>
      </c>
      <c r="Y7" s="8">
        <v>1</v>
      </c>
      <c r="Z7" s="8"/>
      <c r="AA7" s="8"/>
      <c r="AB7" s="8"/>
    </row>
    <row r="8" spans="1:28" x14ac:dyDescent="0.25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  <c r="O8" t="str">
        <f>IF(OR($N8&lt;EDA_Summary!$B$14,$N8&gt;EDA_Summary!$B$15), "Outlier", "Normal")</f>
        <v>Normal</v>
      </c>
      <c r="S8">
        <v>1</v>
      </c>
      <c r="T8">
        <v>664.42</v>
      </c>
      <c r="U8">
        <v>6</v>
      </c>
      <c r="V8">
        <v>664.42</v>
      </c>
      <c r="X8" s="8" t="s">
        <v>5</v>
      </c>
      <c r="Y8" s="8">
        <v>1.4553341185454998E-2</v>
      </c>
      <c r="Z8" s="8">
        <v>1</v>
      </c>
      <c r="AA8" s="8"/>
      <c r="AB8" s="8"/>
    </row>
    <row r="9" spans="1:28" x14ac:dyDescent="0.25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  <c r="O9" t="str">
        <f>IF(OR($N9&lt;EDA_Summary!$B$14,$N9&gt;EDA_Summary!$B$15), "Outlier", "Normal")</f>
        <v>Normal</v>
      </c>
      <c r="S9">
        <v>5</v>
      </c>
      <c r="T9">
        <v>149.55000000000001</v>
      </c>
      <c r="U9">
        <v>9</v>
      </c>
      <c r="V9">
        <v>747.75</v>
      </c>
      <c r="X9" s="8" t="s">
        <v>10</v>
      </c>
      <c r="Y9" s="8">
        <v>0.65006122572385383</v>
      </c>
      <c r="Z9" s="8">
        <v>6.0215368110683881E-4</v>
      </c>
      <c r="AA9" s="8">
        <v>1</v>
      </c>
      <c r="AB9" s="8"/>
    </row>
    <row r="10" spans="1:28" ht="15.75" thickBot="1" x14ac:dyDescent="0.3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  <c r="O10" t="str">
        <f>IF(OR($N10&lt;EDA_Summary!$B$14,$N10&gt;EDA_Summary!$B$15), "Outlier", "Normal")</f>
        <v>Normal</v>
      </c>
      <c r="S10">
        <v>2</v>
      </c>
      <c r="T10">
        <v>134.28</v>
      </c>
      <c r="U10">
        <v>2</v>
      </c>
      <c r="V10">
        <v>268.56</v>
      </c>
      <c r="X10" s="6" t="s">
        <v>13</v>
      </c>
      <c r="Y10" s="6">
        <v>0.61525136334670683</v>
      </c>
      <c r="Z10" s="6">
        <v>0.717081089263781</v>
      </c>
      <c r="AA10" s="6">
        <v>0.39254026040686657</v>
      </c>
      <c r="AB10" s="6">
        <v>1</v>
      </c>
    </row>
    <row r="11" spans="1:28" x14ac:dyDescent="0.25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  <c r="O11" t="str">
        <f>IF(OR($N11&lt;EDA_Summary!$B$14,$N11&gt;EDA_Summary!$B$15), "Outlier", "Normal")</f>
        <v>Normal</v>
      </c>
      <c r="S11">
        <v>4</v>
      </c>
      <c r="T11">
        <v>509.38</v>
      </c>
      <c r="U11">
        <v>6</v>
      </c>
      <c r="V11">
        <v>2037.52</v>
      </c>
    </row>
    <row r="12" spans="1:28" x14ac:dyDescent="0.25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  <c r="O12" t="str">
        <f>IF(OR($N12&lt;EDA_Summary!$B$14,$N12&gt;EDA_Summary!$B$15), "Outlier", "Normal")</f>
        <v>Normal</v>
      </c>
      <c r="S12">
        <v>5</v>
      </c>
      <c r="T12">
        <v>625.97</v>
      </c>
      <c r="U12">
        <v>9</v>
      </c>
      <c r="V12">
        <v>3129.85</v>
      </c>
    </row>
    <row r="13" spans="1:28" x14ac:dyDescent="0.25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  <c r="O13" t="str">
        <f>IF(OR($N13&lt;EDA_Summary!$B$14,$N13&gt;EDA_Summary!$B$15), "Outlier", "Normal")</f>
        <v>Normal</v>
      </c>
      <c r="S13">
        <v>3</v>
      </c>
      <c r="T13">
        <v>49.14</v>
      </c>
      <c r="U13">
        <v>7</v>
      </c>
      <c r="V13">
        <v>147.41999999999999</v>
      </c>
    </row>
    <row r="14" spans="1:28" x14ac:dyDescent="0.25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  <c r="O14" t="str">
        <f>IF(OR($N14&lt;EDA_Summary!$B$14,$N14&gt;EDA_Summary!$B$15), "Outlier", "Normal")</f>
        <v>Normal</v>
      </c>
      <c r="S14">
        <v>2</v>
      </c>
      <c r="T14">
        <v>180.5</v>
      </c>
      <c r="U14">
        <v>6</v>
      </c>
      <c r="V14">
        <v>361</v>
      </c>
    </row>
    <row r="15" spans="1:28" x14ac:dyDescent="0.25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  <c r="O15" t="str">
        <f>IF(OR($N15&lt;EDA_Summary!$B$14,$N15&gt;EDA_Summary!$B$15), "Outlier", "Normal")</f>
        <v>Normal</v>
      </c>
      <c r="S15">
        <v>3</v>
      </c>
      <c r="T15">
        <v>201.49</v>
      </c>
      <c r="U15">
        <v>4</v>
      </c>
      <c r="V15">
        <v>604.47</v>
      </c>
    </row>
    <row r="16" spans="1:28" x14ac:dyDescent="0.25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  <c r="O16" t="str">
        <f>IF(OR($N16&lt;EDA_Summary!$B$14,$N16&gt;EDA_Summary!$B$15), "Outlier", "Normal")</f>
        <v>Normal</v>
      </c>
      <c r="S16">
        <v>2</v>
      </c>
      <c r="T16">
        <v>393.33</v>
      </c>
      <c r="U16">
        <v>3</v>
      </c>
      <c r="V16">
        <v>786.66</v>
      </c>
    </row>
    <row r="17" spans="1:22" x14ac:dyDescent="0.25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  <c r="O17" t="str">
        <f>IF(OR($N17&lt;EDA_Summary!$B$14,$N17&gt;EDA_Summary!$B$15), "Outlier", "Normal")</f>
        <v>Normal</v>
      </c>
      <c r="S17">
        <v>1</v>
      </c>
      <c r="T17">
        <v>473.96</v>
      </c>
      <c r="U17">
        <v>3</v>
      </c>
      <c r="V17">
        <v>473.96</v>
      </c>
    </row>
    <row r="18" spans="1:22" x14ac:dyDescent="0.25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  <c r="O18" t="str">
        <f>IF(OR($N18&lt;EDA_Summary!$B$14,$N18&gt;EDA_Summary!$B$15), "Outlier", "Normal")</f>
        <v>Normal</v>
      </c>
      <c r="S18">
        <v>2</v>
      </c>
      <c r="T18">
        <v>533.80999999999995</v>
      </c>
      <c r="U18">
        <v>3</v>
      </c>
      <c r="V18">
        <v>1067.6199999999999</v>
      </c>
    </row>
    <row r="19" spans="1:22" x14ac:dyDescent="0.25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  <c r="O19" t="str">
        <f>IF(OR($N19&lt;EDA_Summary!$B$14,$N19&gt;EDA_Summary!$B$15), "Outlier", "Normal")</f>
        <v>Normal</v>
      </c>
      <c r="S19">
        <v>1</v>
      </c>
      <c r="T19">
        <v>423.4</v>
      </c>
      <c r="U19">
        <v>3</v>
      </c>
      <c r="V19">
        <v>423.4</v>
      </c>
    </row>
    <row r="20" spans="1:22" x14ac:dyDescent="0.25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  <c r="O20" t="str">
        <f>IF(OR($N20&lt;EDA_Summary!$B$14,$N20&gt;EDA_Summary!$B$15), "Outlier", "Normal")</f>
        <v>Normal</v>
      </c>
      <c r="S20">
        <v>1</v>
      </c>
      <c r="T20">
        <v>431.44</v>
      </c>
      <c r="U20">
        <v>3</v>
      </c>
      <c r="V20">
        <v>431.44</v>
      </c>
    </row>
    <row r="21" spans="1:22" x14ac:dyDescent="0.25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  <c r="O21" t="str">
        <f>IF(OR($N21&lt;EDA_Summary!$B$14,$N21&gt;EDA_Summary!$B$15), "Outlier", "Normal")</f>
        <v>Normal</v>
      </c>
      <c r="S21">
        <v>5</v>
      </c>
      <c r="T21">
        <v>224</v>
      </c>
      <c r="U21">
        <v>9</v>
      </c>
      <c r="V21">
        <v>1120</v>
      </c>
    </row>
    <row r="22" spans="1:22" x14ac:dyDescent="0.25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  <c r="O22" t="str">
        <f>IF(OR($N22&lt;EDA_Summary!$B$14,$N22&gt;EDA_Summary!$B$15), "Outlier", "Normal")</f>
        <v>Normal</v>
      </c>
      <c r="S22">
        <v>5</v>
      </c>
      <c r="T22">
        <v>62.51</v>
      </c>
      <c r="U22">
        <v>9</v>
      </c>
      <c r="V22">
        <v>312.55</v>
      </c>
    </row>
    <row r="23" spans="1:22" x14ac:dyDescent="0.25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  <c r="O23" t="str">
        <f>IF(OR($N23&lt;EDA_Summary!$B$14,$N23&gt;EDA_Summary!$B$15), "Outlier", "Normal")</f>
        <v>Normal</v>
      </c>
      <c r="S23">
        <v>4</v>
      </c>
      <c r="T23">
        <v>342.95</v>
      </c>
      <c r="U23">
        <v>6</v>
      </c>
      <c r="V23">
        <v>1371.8</v>
      </c>
    </row>
    <row r="24" spans="1:22" x14ac:dyDescent="0.25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  <c r="O24" t="str">
        <f>IF(OR($N24&lt;EDA_Summary!$B$14,$N24&gt;EDA_Summary!$B$15), "Outlier", "Normal")</f>
        <v>Normal</v>
      </c>
      <c r="S24">
        <v>2</v>
      </c>
      <c r="T24">
        <v>49.62</v>
      </c>
      <c r="U24">
        <v>2</v>
      </c>
      <c r="V24">
        <v>99.24</v>
      </c>
    </row>
    <row r="25" spans="1:22" x14ac:dyDescent="0.25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  <c r="O25" t="str">
        <f>IF(OR($N25&lt;EDA_Summary!$B$14,$N25&gt;EDA_Summary!$B$15), "Outlier", "Normal")</f>
        <v>Normal</v>
      </c>
      <c r="S25">
        <v>4</v>
      </c>
      <c r="T25">
        <v>273.25</v>
      </c>
      <c r="U25">
        <v>5</v>
      </c>
      <c r="V25">
        <v>1093</v>
      </c>
    </row>
    <row r="26" spans="1:22" x14ac:dyDescent="0.25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  <c r="O26" t="str">
        <f>IF(OR($N26&lt;EDA_Summary!$B$14,$N26&gt;EDA_Summary!$B$15), "Outlier", "Normal")</f>
        <v>Normal</v>
      </c>
      <c r="S26">
        <v>2</v>
      </c>
      <c r="T26">
        <v>230.95</v>
      </c>
      <c r="U26">
        <v>3</v>
      </c>
      <c r="V26">
        <v>461.9</v>
      </c>
    </row>
    <row r="27" spans="1:22" x14ac:dyDescent="0.25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  <c r="O27" t="str">
        <f>IF(OR($N27&lt;EDA_Summary!$B$14,$N27&gt;EDA_Summary!$B$15), "Outlier", "Normal")</f>
        <v>Normal</v>
      </c>
      <c r="S27">
        <v>1</v>
      </c>
      <c r="T27">
        <v>399.98</v>
      </c>
      <c r="U27">
        <v>3</v>
      </c>
      <c r="V27">
        <v>399.98</v>
      </c>
    </row>
    <row r="28" spans="1:22" x14ac:dyDescent="0.25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  <c r="O28" t="str">
        <f>IF(OR($N28&lt;EDA_Summary!$B$14,$N28&gt;EDA_Summary!$B$15), "Outlier", "Normal")</f>
        <v>Normal</v>
      </c>
      <c r="S28">
        <v>5</v>
      </c>
      <c r="T28">
        <v>59.55</v>
      </c>
      <c r="U28">
        <v>6</v>
      </c>
      <c r="V28">
        <v>297.75</v>
      </c>
    </row>
    <row r="29" spans="1:22" x14ac:dyDescent="0.25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  <c r="O29" t="str">
        <f>IF(OR($N29&lt;EDA_Summary!$B$14,$N29&gt;EDA_Summary!$B$15), "Outlier", "Normal")</f>
        <v>Normal</v>
      </c>
      <c r="S29">
        <v>1</v>
      </c>
      <c r="T29">
        <v>472.74</v>
      </c>
      <c r="U29">
        <v>6</v>
      </c>
      <c r="V29">
        <v>472.74</v>
      </c>
    </row>
    <row r="30" spans="1:22" x14ac:dyDescent="0.25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  <c r="O30" t="str">
        <f>IF(OR($N30&lt;EDA_Summary!$B$14,$N30&gt;EDA_Summary!$B$15), "Outlier", "Normal")</f>
        <v>Normal</v>
      </c>
      <c r="S30">
        <v>4</v>
      </c>
      <c r="T30">
        <v>160.07</v>
      </c>
      <c r="U30">
        <v>5</v>
      </c>
      <c r="V30">
        <v>640.28</v>
      </c>
    </row>
    <row r="31" spans="1:22" x14ac:dyDescent="0.25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  <c r="O31" t="str">
        <f>IF(OR($N31&lt;EDA_Summary!$B$14,$N31&gt;EDA_Summary!$B$15), "Outlier", "Normal")</f>
        <v>Normal</v>
      </c>
      <c r="S31">
        <v>3</v>
      </c>
      <c r="T31">
        <v>423.53</v>
      </c>
      <c r="U31">
        <v>6</v>
      </c>
      <c r="V31">
        <v>1270.5899999999999</v>
      </c>
    </row>
    <row r="32" spans="1:22" x14ac:dyDescent="0.25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  <c r="O32" t="str">
        <f>IF(OR($N32&lt;EDA_Summary!$B$14,$N32&gt;EDA_Summary!$B$15), "Outlier", "Normal")</f>
        <v>Normal</v>
      </c>
      <c r="S32">
        <v>2</v>
      </c>
      <c r="T32">
        <v>426.7</v>
      </c>
      <c r="U32">
        <v>5</v>
      </c>
      <c r="V32">
        <v>853.4</v>
      </c>
    </row>
    <row r="33" spans="1:22" x14ac:dyDescent="0.25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  <c r="O33" t="str">
        <f>IF(OR($N33&lt;EDA_Summary!$B$14,$N33&gt;EDA_Summary!$B$15), "Outlier", "Normal")</f>
        <v>Normal</v>
      </c>
      <c r="S33">
        <v>3</v>
      </c>
      <c r="T33">
        <v>500.08</v>
      </c>
      <c r="U33">
        <v>6</v>
      </c>
      <c r="V33">
        <v>1500.24</v>
      </c>
    </row>
    <row r="34" spans="1:22" x14ac:dyDescent="0.25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  <c r="O34" t="str">
        <f>IF(OR($N34&lt;EDA_Summary!$B$14,$N34&gt;EDA_Summary!$B$15), "Outlier", "Normal")</f>
        <v>Normal</v>
      </c>
      <c r="S34">
        <v>5</v>
      </c>
      <c r="T34">
        <v>536.72</v>
      </c>
      <c r="U34">
        <v>10</v>
      </c>
      <c r="V34">
        <v>2683.6</v>
      </c>
    </row>
    <row r="35" spans="1:22" x14ac:dyDescent="0.25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  <c r="O35" t="str">
        <f>IF(OR($N35&lt;EDA_Summary!$B$14,$N35&gt;EDA_Summary!$B$15), "Outlier", "Normal")</f>
        <v>Normal</v>
      </c>
      <c r="S35">
        <v>1</v>
      </c>
      <c r="T35">
        <v>162.77000000000001</v>
      </c>
      <c r="U35">
        <v>4</v>
      </c>
      <c r="V35">
        <v>162.77000000000001</v>
      </c>
    </row>
    <row r="36" spans="1:22" x14ac:dyDescent="0.25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  <c r="O36" t="str">
        <f>IF(OR($N36&lt;EDA_Summary!$B$14,$N36&gt;EDA_Summary!$B$15), "Outlier", "Normal")</f>
        <v>Normal</v>
      </c>
      <c r="S36">
        <v>4</v>
      </c>
      <c r="T36">
        <v>576.52</v>
      </c>
      <c r="U36">
        <v>5</v>
      </c>
      <c r="V36">
        <v>2306.08</v>
      </c>
    </row>
    <row r="37" spans="1:22" x14ac:dyDescent="0.25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  <c r="O37" t="str">
        <f>IF(OR($N37&lt;EDA_Summary!$B$14,$N37&gt;EDA_Summary!$B$15), "Outlier", "Normal")</f>
        <v>Normal</v>
      </c>
      <c r="S37">
        <v>2</v>
      </c>
      <c r="T37">
        <v>465.15</v>
      </c>
      <c r="U37">
        <v>2</v>
      </c>
      <c r="V37">
        <v>930.3</v>
      </c>
    </row>
    <row r="38" spans="1:22" x14ac:dyDescent="0.25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  <c r="O38" t="str">
        <f>IF(OR($N38&lt;EDA_Summary!$B$14,$N38&gt;EDA_Summary!$B$15), "Outlier", "Normal")</f>
        <v>Normal</v>
      </c>
      <c r="S38">
        <v>2</v>
      </c>
      <c r="T38">
        <v>534.42999999999995</v>
      </c>
      <c r="U38">
        <v>5</v>
      </c>
      <c r="V38">
        <v>1068.8599999999999</v>
      </c>
    </row>
    <row r="39" spans="1:22" x14ac:dyDescent="0.25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  <c r="O39" t="str">
        <f>IF(OR($N39&lt;EDA_Summary!$B$14,$N39&gt;EDA_Summary!$B$15), "Outlier", "Normal")</f>
        <v>Normal</v>
      </c>
      <c r="S39">
        <v>2</v>
      </c>
      <c r="T39">
        <v>76.739999999999995</v>
      </c>
      <c r="U39">
        <v>7</v>
      </c>
      <c r="V39">
        <v>153.47999999999999</v>
      </c>
    </row>
    <row r="40" spans="1:22" x14ac:dyDescent="0.25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  <c r="O40" t="str">
        <f>IF(OR($N40&lt;EDA_Summary!$B$14,$N40&gt;EDA_Summary!$B$15), "Outlier", "Normal")</f>
        <v>Normal</v>
      </c>
      <c r="S40">
        <v>1</v>
      </c>
      <c r="T40">
        <v>245.89</v>
      </c>
      <c r="U40">
        <v>3</v>
      </c>
      <c r="V40">
        <v>245.89</v>
      </c>
    </row>
    <row r="41" spans="1:22" x14ac:dyDescent="0.25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  <c r="O41" t="str">
        <f>IF(OR($N41&lt;EDA_Summary!$B$14,$N41&gt;EDA_Summary!$B$15), "Outlier", "Normal")</f>
        <v>Normal</v>
      </c>
      <c r="S41">
        <v>3</v>
      </c>
      <c r="T41">
        <v>256.45999999999998</v>
      </c>
      <c r="U41">
        <v>4</v>
      </c>
      <c r="V41">
        <v>769.37999999999988</v>
      </c>
    </row>
    <row r="42" spans="1:22" x14ac:dyDescent="0.25">
      <c r="A42" t="s">
        <v>200</v>
      </c>
      <c r="B42" s="1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  <c r="O42" t="str">
        <f>IF(OR($N42&lt;EDA_Summary!$B$14,$N42&gt;EDA_Summary!$B$15), "Outlier", "Normal")</f>
        <v>Normal</v>
      </c>
      <c r="S42">
        <v>2</v>
      </c>
      <c r="T42">
        <v>344.02</v>
      </c>
      <c r="U42">
        <v>4</v>
      </c>
      <c r="V42">
        <v>688.04</v>
      </c>
    </row>
    <row r="43" spans="1:22" x14ac:dyDescent="0.25">
      <c r="A43" t="s">
        <v>204</v>
      </c>
      <c r="B43" s="1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  <c r="O43" t="str">
        <f>IF(OR($N43&lt;EDA_Summary!$B$14,$N43&gt;EDA_Summary!$B$15), "Outlier", "Normal")</f>
        <v>Normal</v>
      </c>
      <c r="S43">
        <v>3</v>
      </c>
      <c r="T43">
        <v>611.45000000000005</v>
      </c>
      <c r="U43">
        <v>4</v>
      </c>
      <c r="V43">
        <v>1834.35</v>
      </c>
    </row>
    <row r="44" spans="1:22" x14ac:dyDescent="0.25">
      <c r="A44" t="s">
        <v>208</v>
      </c>
      <c r="B44" s="1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  <c r="O44" t="str">
        <f>IF(OR($N44&lt;EDA_Summary!$B$14,$N44&gt;EDA_Summary!$B$15), "Outlier", "Normal")</f>
        <v>Normal</v>
      </c>
      <c r="S44">
        <v>2</v>
      </c>
      <c r="T44">
        <v>151.66</v>
      </c>
      <c r="U44">
        <v>6</v>
      </c>
      <c r="V44">
        <v>303.32</v>
      </c>
    </row>
    <row r="45" spans="1:22" x14ac:dyDescent="0.25">
      <c r="A45" t="s">
        <v>211</v>
      </c>
      <c r="B45" s="1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  <c r="O45" t="str">
        <f>IF(OR($N45&lt;EDA_Summary!$B$14,$N45&gt;EDA_Summary!$B$15), "Outlier", "Normal")</f>
        <v>Normal</v>
      </c>
      <c r="S45">
        <v>3</v>
      </c>
      <c r="T45">
        <v>499.21</v>
      </c>
      <c r="U45">
        <v>8</v>
      </c>
      <c r="V45">
        <v>1497.63</v>
      </c>
    </row>
    <row r="46" spans="1:22" x14ac:dyDescent="0.25">
      <c r="A46" t="s">
        <v>215</v>
      </c>
      <c r="B46" s="1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  <c r="O46" t="str">
        <f>IF(OR($N46&lt;EDA_Summary!$B$14,$N46&gt;EDA_Summary!$B$15), "Outlier", "Normal")</f>
        <v>Normal</v>
      </c>
      <c r="S46">
        <v>2</v>
      </c>
      <c r="T46">
        <v>550.17999999999995</v>
      </c>
      <c r="U46">
        <v>3</v>
      </c>
      <c r="V46">
        <v>1100.3599999999999</v>
      </c>
    </row>
    <row r="47" spans="1:22" x14ac:dyDescent="0.25">
      <c r="A47" t="s">
        <v>218</v>
      </c>
      <c r="B47" s="1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  <c r="O47" t="str">
        <f>IF(OR($N47&lt;EDA_Summary!$B$14,$N47&gt;EDA_Summary!$B$15), "Outlier", "Normal")</f>
        <v>Normal</v>
      </c>
      <c r="S47">
        <v>1</v>
      </c>
      <c r="T47">
        <v>317.25</v>
      </c>
      <c r="U47">
        <v>1</v>
      </c>
      <c r="V47">
        <v>317.25</v>
      </c>
    </row>
    <row r="48" spans="1:22" x14ac:dyDescent="0.25">
      <c r="A48" t="s">
        <v>222</v>
      </c>
      <c r="B48" s="1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  <c r="O48" t="str">
        <f>IF(OR($N48&lt;EDA_Summary!$B$14,$N48&gt;EDA_Summary!$B$15), "Outlier", "Normal")</f>
        <v>Normal</v>
      </c>
      <c r="S48">
        <v>4</v>
      </c>
      <c r="T48">
        <v>550.14</v>
      </c>
      <c r="U48">
        <v>4</v>
      </c>
      <c r="V48">
        <v>2200.56</v>
      </c>
    </row>
    <row r="49" spans="1:22" x14ac:dyDescent="0.25">
      <c r="A49" t="s">
        <v>226</v>
      </c>
      <c r="B49" s="1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  <c r="O49" t="str">
        <f>IF(OR($N49&lt;EDA_Summary!$B$14,$N49&gt;EDA_Summary!$B$15), "Outlier", "Normal")</f>
        <v>Normal</v>
      </c>
      <c r="S49">
        <v>2</v>
      </c>
      <c r="T49">
        <v>209.94</v>
      </c>
      <c r="U49">
        <v>3</v>
      </c>
      <c r="V49">
        <v>419.88</v>
      </c>
    </row>
    <row r="50" spans="1:22" x14ac:dyDescent="0.25">
      <c r="A50" t="s">
        <v>230</v>
      </c>
      <c r="B50" s="1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  <c r="O50" t="str">
        <f>IF(OR($N50&lt;EDA_Summary!$B$14,$N50&gt;EDA_Summary!$B$15), "Outlier", "Normal")</f>
        <v>Normal</v>
      </c>
      <c r="S50">
        <v>2</v>
      </c>
      <c r="T50">
        <v>80.77</v>
      </c>
      <c r="U50">
        <v>4</v>
      </c>
      <c r="V50">
        <v>161.54</v>
      </c>
    </row>
    <row r="51" spans="1:22" x14ac:dyDescent="0.25">
      <c r="A51" t="s">
        <v>234</v>
      </c>
      <c r="B51" s="1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  <c r="O51" t="str">
        <f>IF(OR($N51&lt;EDA_Summary!$B$14,$N51&gt;EDA_Summary!$B$15), "Outlier", "Normal")</f>
        <v>Normal</v>
      </c>
      <c r="S51">
        <v>1</v>
      </c>
      <c r="T51">
        <v>30.44</v>
      </c>
      <c r="U51">
        <v>1</v>
      </c>
      <c r="V51">
        <v>30.44</v>
      </c>
    </row>
    <row r="52" spans="1:22" x14ac:dyDescent="0.25">
      <c r="A52" t="s">
        <v>237</v>
      </c>
      <c r="B52" s="1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  <c r="O52" t="str">
        <f>IF(OR($N52&lt;EDA_Summary!$B$14,$N52&gt;EDA_Summary!$B$15), "Outlier", "Normal")</f>
        <v>Normal</v>
      </c>
      <c r="S52">
        <v>1</v>
      </c>
      <c r="T52">
        <v>179.22</v>
      </c>
      <c r="U52">
        <v>6</v>
      </c>
      <c r="V52">
        <v>179.22</v>
      </c>
    </row>
    <row r="53" spans="1:22" x14ac:dyDescent="0.25">
      <c r="A53" t="s">
        <v>241</v>
      </c>
      <c r="B53" s="1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  <c r="O53" t="str">
        <f>IF(OR($N53&lt;EDA_Summary!$B$14,$N53&gt;EDA_Summary!$B$15), "Outlier", "Normal")</f>
        <v>Normal</v>
      </c>
      <c r="S53">
        <v>1</v>
      </c>
      <c r="T53">
        <v>388.33</v>
      </c>
      <c r="U53">
        <v>2</v>
      </c>
      <c r="V53">
        <v>388.33</v>
      </c>
    </row>
    <row r="54" spans="1:22" x14ac:dyDescent="0.25">
      <c r="A54" t="s">
        <v>245</v>
      </c>
      <c r="B54" s="1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  <c r="O54" t="str">
        <f>IF(OR($N54&lt;EDA_Summary!$B$14,$N54&gt;EDA_Summary!$B$15), "Outlier", "Normal")</f>
        <v>Normal</v>
      </c>
      <c r="S54">
        <v>1</v>
      </c>
      <c r="T54">
        <v>586.44000000000005</v>
      </c>
      <c r="U54">
        <v>5</v>
      </c>
      <c r="V54">
        <v>586.44000000000005</v>
      </c>
    </row>
    <row r="55" spans="1:22" x14ac:dyDescent="0.25">
      <c r="A55" t="s">
        <v>249</v>
      </c>
      <c r="B55" s="1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  <c r="O55" t="str">
        <f>IF(OR($N55&lt;EDA_Summary!$B$14,$N55&gt;EDA_Summary!$B$15), "Outlier", "Normal")</f>
        <v>Normal</v>
      </c>
      <c r="S55">
        <v>4</v>
      </c>
      <c r="T55">
        <v>488.78</v>
      </c>
      <c r="U55">
        <v>5</v>
      </c>
      <c r="V55">
        <v>1955.12</v>
      </c>
    </row>
    <row r="56" spans="1:22" x14ac:dyDescent="0.25">
      <c r="A56" t="s">
        <v>252</v>
      </c>
      <c r="B56" s="1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  <c r="O56" t="str">
        <f>IF(OR($N56&lt;EDA_Summary!$B$14,$N56&gt;EDA_Summary!$B$15), "Outlier", "Normal")</f>
        <v>Normal</v>
      </c>
      <c r="S56">
        <v>1</v>
      </c>
      <c r="T56">
        <v>280.25</v>
      </c>
      <c r="U56">
        <v>5</v>
      </c>
      <c r="V56">
        <v>280.25</v>
      </c>
    </row>
    <row r="57" spans="1:22" x14ac:dyDescent="0.25">
      <c r="A57" t="s">
        <v>256</v>
      </c>
      <c r="B57" s="1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  <c r="O57" t="str">
        <f>IF(OR($N57&lt;EDA_Summary!$B$14,$N57&gt;EDA_Summary!$B$15), "Outlier", "Normal")</f>
        <v>Normal</v>
      </c>
      <c r="S57">
        <v>3</v>
      </c>
      <c r="T57">
        <v>344.4</v>
      </c>
      <c r="U57">
        <v>3</v>
      </c>
      <c r="V57">
        <v>1033.2</v>
      </c>
    </row>
    <row r="58" spans="1:22" x14ac:dyDescent="0.25">
      <c r="A58" t="s">
        <v>260</v>
      </c>
      <c r="B58" s="1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  <c r="O58" t="str">
        <f>IF(OR($N58&lt;EDA_Summary!$B$14,$N58&gt;EDA_Summary!$B$15), "Outlier", "Normal")</f>
        <v>Normal</v>
      </c>
      <c r="S58">
        <v>3</v>
      </c>
      <c r="T58">
        <v>479.21</v>
      </c>
      <c r="U58">
        <v>5</v>
      </c>
      <c r="V58">
        <v>1437.63</v>
      </c>
    </row>
    <row r="59" spans="1:22" x14ac:dyDescent="0.25">
      <c r="A59" t="s">
        <v>264</v>
      </c>
      <c r="B59" s="1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  <c r="O59" t="str">
        <f>IF(OR($N59&lt;EDA_Summary!$B$14,$N59&gt;EDA_Summary!$B$15), "Outlier", "Normal")</f>
        <v>Normal</v>
      </c>
      <c r="S59">
        <v>5</v>
      </c>
      <c r="T59">
        <v>314.27</v>
      </c>
      <c r="U59">
        <v>6</v>
      </c>
      <c r="V59">
        <v>1571.35</v>
      </c>
    </row>
    <row r="60" spans="1:22" x14ac:dyDescent="0.25">
      <c r="A60" t="s">
        <v>268</v>
      </c>
      <c r="B60" s="1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  <c r="O60" t="str">
        <f>IF(OR($N60&lt;EDA_Summary!$B$14,$N60&gt;EDA_Summary!$B$15), "Outlier", "Normal")</f>
        <v>Normal</v>
      </c>
      <c r="S60">
        <v>4</v>
      </c>
      <c r="T60">
        <v>474.69</v>
      </c>
      <c r="U60">
        <v>6</v>
      </c>
      <c r="V60">
        <v>1898.76</v>
      </c>
    </row>
    <row r="61" spans="1:22" x14ac:dyDescent="0.25">
      <c r="A61" t="s">
        <v>272</v>
      </c>
      <c r="B61" s="1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  <c r="O61" t="str">
        <f>IF(OR($N61&lt;EDA_Summary!$B$14,$N61&gt;EDA_Summary!$B$15), "Outlier", "Normal")</f>
        <v>Normal</v>
      </c>
      <c r="S61">
        <v>4</v>
      </c>
      <c r="T61">
        <v>593.27</v>
      </c>
      <c r="U61">
        <v>5</v>
      </c>
      <c r="V61">
        <v>2373.08</v>
      </c>
    </row>
    <row r="62" spans="1:22" x14ac:dyDescent="0.25">
      <c r="A62" t="s">
        <v>276</v>
      </c>
      <c r="B62" s="1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  <c r="O62" t="str">
        <f>IF(OR($N62&lt;EDA_Summary!$B$14,$N62&gt;EDA_Summary!$B$15), "Outlier", "Normal")</f>
        <v>Normal</v>
      </c>
      <c r="S62">
        <v>1</v>
      </c>
      <c r="T62">
        <v>417.1</v>
      </c>
      <c r="U62">
        <v>3</v>
      </c>
      <c r="V62">
        <v>417.1</v>
      </c>
    </row>
    <row r="63" spans="1:22" x14ac:dyDescent="0.25">
      <c r="A63" t="s">
        <v>280</v>
      </c>
      <c r="B63" s="1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  <c r="O63" t="str">
        <f>IF(OR($N63&lt;EDA_Summary!$B$14,$N63&gt;EDA_Summary!$B$15), "Outlier", "Normal")</f>
        <v>Normal</v>
      </c>
      <c r="S63">
        <v>4</v>
      </c>
      <c r="T63">
        <v>122.2</v>
      </c>
      <c r="U63">
        <v>7</v>
      </c>
      <c r="V63">
        <v>488.8</v>
      </c>
    </row>
    <row r="64" spans="1:22" x14ac:dyDescent="0.25">
      <c r="A64" t="s">
        <v>284</v>
      </c>
      <c r="B64" s="1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  <c r="O64" t="str">
        <f>IF(OR($N64&lt;EDA_Summary!$B$14,$N64&gt;EDA_Summary!$B$15), "Outlier", "Normal")</f>
        <v>Normal</v>
      </c>
      <c r="S64">
        <v>2</v>
      </c>
      <c r="T64">
        <v>43.15</v>
      </c>
      <c r="U64">
        <v>3</v>
      </c>
      <c r="V64">
        <v>86.3</v>
      </c>
    </row>
    <row r="65" spans="1:22" x14ac:dyDescent="0.25">
      <c r="A65" t="s">
        <v>288</v>
      </c>
      <c r="B65" s="1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  <c r="O65" t="str">
        <f>IF(OR($N65&lt;EDA_Summary!$B$14,$N65&gt;EDA_Summary!$B$15), "Outlier", "Normal")</f>
        <v>Normal</v>
      </c>
      <c r="S65">
        <v>1</v>
      </c>
      <c r="T65">
        <v>564.86</v>
      </c>
      <c r="U65">
        <v>6</v>
      </c>
      <c r="V65">
        <v>564.86</v>
      </c>
    </row>
    <row r="66" spans="1:22" x14ac:dyDescent="0.25">
      <c r="A66" t="s">
        <v>292</v>
      </c>
      <c r="B66" s="1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  <c r="O66" t="str">
        <f>IF(OR($N66&lt;EDA_Summary!$B$14,$N66&gt;EDA_Summary!$B$15), "Outlier", "Normal")</f>
        <v>Normal</v>
      </c>
      <c r="S66">
        <v>3</v>
      </c>
      <c r="T66">
        <v>130.61000000000001</v>
      </c>
      <c r="U66">
        <v>4</v>
      </c>
      <c r="V66">
        <v>391.83</v>
      </c>
    </row>
    <row r="67" spans="1:22" x14ac:dyDescent="0.25">
      <c r="A67" t="s">
        <v>296</v>
      </c>
      <c r="B67" s="1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  <c r="O67" t="str">
        <f>IF(OR($N67&lt;EDA_Summary!$B$14,$N67&gt;EDA_Summary!$B$15), "Outlier", "Normal")</f>
        <v>Normal</v>
      </c>
      <c r="S67">
        <v>5</v>
      </c>
      <c r="T67">
        <v>81.7</v>
      </c>
      <c r="U67">
        <v>6</v>
      </c>
      <c r="V67">
        <v>408.5</v>
      </c>
    </row>
    <row r="68" spans="1:22" x14ac:dyDescent="0.25">
      <c r="A68" t="s">
        <v>300</v>
      </c>
      <c r="B68" s="1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  <c r="O68" t="str">
        <f>IF(OR($N68&lt;EDA_Summary!$B$14,$N68&gt;EDA_Summary!$B$15), "Outlier", "Normal")</f>
        <v>Normal</v>
      </c>
      <c r="S68">
        <v>5</v>
      </c>
      <c r="T68">
        <v>127.18</v>
      </c>
      <c r="U68">
        <v>9</v>
      </c>
      <c r="V68">
        <v>635.90000000000009</v>
      </c>
    </row>
    <row r="69" spans="1:22" x14ac:dyDescent="0.25">
      <c r="A69" t="s">
        <v>304</v>
      </c>
      <c r="B69" s="1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  <c r="O69" t="str">
        <f>IF(OR($N69&lt;EDA_Summary!$B$14,$N69&gt;EDA_Summary!$B$15), "Outlier", "Normal")</f>
        <v>Normal</v>
      </c>
      <c r="S69">
        <v>4</v>
      </c>
      <c r="T69">
        <v>12.1</v>
      </c>
      <c r="U69">
        <v>8</v>
      </c>
      <c r="V69">
        <v>48.4</v>
      </c>
    </row>
    <row r="70" spans="1:22" x14ac:dyDescent="0.25">
      <c r="A70" t="s">
        <v>308</v>
      </c>
      <c r="B70" s="1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  <c r="O70" t="str">
        <f>IF(OR($N70&lt;EDA_Summary!$B$14,$N70&gt;EDA_Summary!$B$15), "Outlier", "Normal")</f>
        <v>Normal</v>
      </c>
      <c r="S70">
        <v>3</v>
      </c>
      <c r="T70">
        <v>490.92</v>
      </c>
      <c r="U70">
        <v>5</v>
      </c>
      <c r="V70">
        <v>1472.76</v>
      </c>
    </row>
    <row r="71" spans="1:22" x14ac:dyDescent="0.25">
      <c r="A71" t="s">
        <v>311</v>
      </c>
      <c r="B71" s="1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  <c r="O71" t="str">
        <f>IF(OR($N71&lt;EDA_Summary!$B$14,$N71&gt;EDA_Summary!$B$15), "Outlier", "Normal")</f>
        <v>Normal</v>
      </c>
      <c r="S71">
        <v>3</v>
      </c>
      <c r="T71">
        <v>478.65</v>
      </c>
      <c r="U71">
        <v>4</v>
      </c>
      <c r="V71">
        <v>1435.95</v>
      </c>
    </row>
    <row r="72" spans="1:22" x14ac:dyDescent="0.25">
      <c r="A72" t="s">
        <v>315</v>
      </c>
      <c r="B72" s="1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  <c r="O72" t="str">
        <f>IF(OR($N72&lt;EDA_Summary!$B$14,$N72&gt;EDA_Summary!$B$15), "Outlier", "Normal")</f>
        <v>Normal</v>
      </c>
      <c r="S72">
        <v>1</v>
      </c>
      <c r="T72">
        <v>629.21</v>
      </c>
      <c r="U72">
        <v>2</v>
      </c>
      <c r="V72">
        <v>629.21</v>
      </c>
    </row>
    <row r="73" spans="1:22" x14ac:dyDescent="0.25">
      <c r="A73" t="s">
        <v>319</v>
      </c>
      <c r="B73" s="1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  <c r="O73" t="str">
        <f>IF(OR($N73&lt;EDA_Summary!$B$14,$N73&gt;EDA_Summary!$B$15), "Outlier", "Normal")</f>
        <v>Normal</v>
      </c>
      <c r="S73">
        <v>3</v>
      </c>
      <c r="T73">
        <v>434.45</v>
      </c>
      <c r="U73">
        <v>4</v>
      </c>
      <c r="V73">
        <v>1303.3499999999999</v>
      </c>
    </row>
    <row r="74" spans="1:22" x14ac:dyDescent="0.25">
      <c r="A74" t="s">
        <v>323</v>
      </c>
      <c r="B74" s="1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  <c r="O74" t="str">
        <f>IF(OR($N74&lt;EDA_Summary!$B$14,$N74&gt;EDA_Summary!$B$15), "Outlier", "Normal")</f>
        <v>Normal</v>
      </c>
      <c r="S74">
        <v>4</v>
      </c>
      <c r="T74">
        <v>589.44000000000005</v>
      </c>
      <c r="U74">
        <v>5</v>
      </c>
      <c r="V74">
        <v>2357.7600000000002</v>
      </c>
    </row>
    <row r="75" spans="1:22" x14ac:dyDescent="0.25">
      <c r="A75" t="s">
        <v>326</v>
      </c>
      <c r="B75" s="1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  <c r="O75" t="str">
        <f>IF(OR($N75&lt;EDA_Summary!$B$14,$N75&gt;EDA_Summary!$B$15), "Outlier", "Normal")</f>
        <v>Normal</v>
      </c>
      <c r="S75">
        <v>4</v>
      </c>
      <c r="T75">
        <v>433.45</v>
      </c>
      <c r="U75">
        <v>4</v>
      </c>
      <c r="V75">
        <v>1733.8</v>
      </c>
    </row>
    <row r="76" spans="1:22" x14ac:dyDescent="0.25">
      <c r="A76" t="s">
        <v>330</v>
      </c>
      <c r="B76" s="1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  <c r="O76" t="str">
        <f>IF(OR($N76&lt;EDA_Summary!$B$14,$N76&gt;EDA_Summary!$B$15), "Outlier", "Normal")</f>
        <v>Normal</v>
      </c>
      <c r="S76">
        <v>5</v>
      </c>
      <c r="T76">
        <v>90.87</v>
      </c>
      <c r="U76">
        <v>5</v>
      </c>
      <c r="V76">
        <v>454.35</v>
      </c>
    </row>
    <row r="77" spans="1:22" x14ac:dyDescent="0.25">
      <c r="A77" t="s">
        <v>334</v>
      </c>
      <c r="B77" s="1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  <c r="O77" t="str">
        <f>IF(OR($N77&lt;EDA_Summary!$B$14,$N77&gt;EDA_Summary!$B$15), "Outlier", "Normal")</f>
        <v>Normal</v>
      </c>
      <c r="S77">
        <v>3</v>
      </c>
      <c r="T77">
        <v>398.17</v>
      </c>
      <c r="U77">
        <v>5</v>
      </c>
      <c r="V77">
        <v>1194.51</v>
      </c>
    </row>
    <row r="78" spans="1:22" x14ac:dyDescent="0.25">
      <c r="A78" t="s">
        <v>338</v>
      </c>
      <c r="B78" s="1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  <c r="O78" t="str">
        <f>IF(OR($N78&lt;EDA_Summary!$B$14,$N78&gt;EDA_Summary!$B$15), "Outlier", "Normal")</f>
        <v>Normal</v>
      </c>
      <c r="S78">
        <v>4</v>
      </c>
      <c r="T78">
        <v>382.88</v>
      </c>
      <c r="U78">
        <v>6</v>
      </c>
      <c r="V78">
        <v>1531.52</v>
      </c>
    </row>
    <row r="79" spans="1:22" x14ac:dyDescent="0.25">
      <c r="A79" t="s">
        <v>342</v>
      </c>
      <c r="B79" s="1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  <c r="O79" t="str">
        <f>IF(OR($N79&lt;EDA_Summary!$B$14,$N79&gt;EDA_Summary!$B$15), "Outlier", "Normal")</f>
        <v>Normal</v>
      </c>
      <c r="S79">
        <v>1</v>
      </c>
      <c r="T79">
        <v>583.17999999999995</v>
      </c>
      <c r="U79">
        <v>5</v>
      </c>
      <c r="V79">
        <v>583.17999999999995</v>
      </c>
    </row>
    <row r="80" spans="1:22" x14ac:dyDescent="0.25">
      <c r="A80" t="s">
        <v>346</v>
      </c>
      <c r="B80" s="1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  <c r="O80" t="str">
        <f>IF(OR($N80&lt;EDA_Summary!$B$14,$N80&gt;EDA_Summary!$B$15), "Outlier", "Normal")</f>
        <v>Normal</v>
      </c>
      <c r="S80">
        <v>4</v>
      </c>
      <c r="T80">
        <v>175.36</v>
      </c>
      <c r="U80">
        <v>4</v>
      </c>
      <c r="V80">
        <v>701.44</v>
      </c>
    </row>
    <row r="81" spans="1:22" x14ac:dyDescent="0.25">
      <c r="A81" t="s">
        <v>350</v>
      </c>
      <c r="B81" s="1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  <c r="O81" t="str">
        <f>IF(OR($N81&lt;EDA_Summary!$B$14,$N81&gt;EDA_Summary!$B$15), "Outlier", "Normal")</f>
        <v>Normal</v>
      </c>
      <c r="S81">
        <v>2</v>
      </c>
      <c r="T81">
        <v>311.91000000000003</v>
      </c>
      <c r="U81">
        <v>2</v>
      </c>
      <c r="V81">
        <v>623.82000000000005</v>
      </c>
    </row>
    <row r="82" spans="1:22" x14ac:dyDescent="0.25">
      <c r="A82" t="s">
        <v>354</v>
      </c>
      <c r="B82" s="1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  <c r="O82" t="str">
        <f>IF(OR($N82&lt;EDA_Summary!$B$14,$N82&gt;EDA_Summary!$B$15), "Outlier", "Normal")</f>
        <v>Normal</v>
      </c>
      <c r="S82">
        <v>3</v>
      </c>
      <c r="T82">
        <v>589.55999999999995</v>
      </c>
      <c r="U82">
        <v>6</v>
      </c>
      <c r="V82">
        <v>1768.68</v>
      </c>
    </row>
    <row r="83" spans="1:22" x14ac:dyDescent="0.25">
      <c r="A83" t="s">
        <v>358</v>
      </c>
      <c r="B83" s="1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  <c r="O83" t="str">
        <f>IF(OR($N83&lt;EDA_Summary!$B$14,$N83&gt;EDA_Summary!$B$15), "Outlier", "Normal")</f>
        <v>Normal</v>
      </c>
      <c r="S83">
        <v>2</v>
      </c>
      <c r="T83">
        <v>394.3</v>
      </c>
      <c r="U83">
        <v>6</v>
      </c>
      <c r="V83">
        <v>788.6</v>
      </c>
    </row>
    <row r="84" spans="1:22" x14ac:dyDescent="0.25">
      <c r="A84" t="s">
        <v>362</v>
      </c>
      <c r="B84" s="1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  <c r="O84" t="str">
        <f>IF(OR($N84&lt;EDA_Summary!$B$14,$N84&gt;EDA_Summary!$B$15), "Outlier", "Normal")</f>
        <v>Normal</v>
      </c>
      <c r="S84">
        <v>4</v>
      </c>
      <c r="T84">
        <v>565.20000000000005</v>
      </c>
      <c r="U84">
        <v>9</v>
      </c>
      <c r="V84">
        <v>2260.8000000000002</v>
      </c>
    </row>
    <row r="85" spans="1:22" x14ac:dyDescent="0.25">
      <c r="A85" t="s">
        <v>366</v>
      </c>
      <c r="B85" s="1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  <c r="O85" t="str">
        <f>IF(OR($N85&lt;EDA_Summary!$B$14,$N85&gt;EDA_Summary!$B$15), "Outlier", "Normal")</f>
        <v>Normal</v>
      </c>
      <c r="S85">
        <v>4</v>
      </c>
      <c r="T85">
        <v>540.41</v>
      </c>
      <c r="U85">
        <v>6</v>
      </c>
      <c r="V85">
        <v>2161.64</v>
      </c>
    </row>
    <row r="86" spans="1:22" x14ac:dyDescent="0.25">
      <c r="A86" t="s">
        <v>370</v>
      </c>
      <c r="B86" s="1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  <c r="O86" t="str">
        <f>IF(OR($N86&lt;EDA_Summary!$B$14,$N86&gt;EDA_Summary!$B$15), "Outlier", "Normal")</f>
        <v>Normal</v>
      </c>
      <c r="S86">
        <v>2</v>
      </c>
      <c r="T86">
        <v>165.49</v>
      </c>
      <c r="U86">
        <v>4</v>
      </c>
      <c r="V86">
        <v>330.98</v>
      </c>
    </row>
    <row r="87" spans="1:22" x14ac:dyDescent="0.25">
      <c r="A87" t="s">
        <v>374</v>
      </c>
      <c r="B87" s="1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  <c r="O87" t="str">
        <f>IF(OR($N87&lt;EDA_Summary!$B$14,$N87&gt;EDA_Summary!$B$15), "Outlier", "Normal")</f>
        <v>Normal</v>
      </c>
      <c r="S87">
        <v>3</v>
      </c>
      <c r="T87">
        <v>146.72999999999999</v>
      </c>
      <c r="U87">
        <v>8</v>
      </c>
      <c r="V87">
        <v>440.18999999999988</v>
      </c>
    </row>
    <row r="88" spans="1:22" x14ac:dyDescent="0.25">
      <c r="A88" t="s">
        <v>378</v>
      </c>
      <c r="B88" s="1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  <c r="O88" t="str">
        <f>IF(OR($N88&lt;EDA_Summary!$B$14,$N88&gt;EDA_Summary!$B$15), "Outlier", "Normal")</f>
        <v>Normal</v>
      </c>
      <c r="S88">
        <v>5</v>
      </c>
      <c r="T88">
        <v>643.03</v>
      </c>
      <c r="U88">
        <v>5</v>
      </c>
      <c r="V88">
        <v>3215.15</v>
      </c>
    </row>
    <row r="89" spans="1:22" x14ac:dyDescent="0.25">
      <c r="A89" t="s">
        <v>382</v>
      </c>
      <c r="B89" s="1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  <c r="O89" t="str">
        <f>IF(OR($N89&lt;EDA_Summary!$B$14,$N89&gt;EDA_Summary!$B$15), "Outlier", "Normal")</f>
        <v>Normal</v>
      </c>
      <c r="S89">
        <v>3</v>
      </c>
      <c r="T89">
        <v>225.11</v>
      </c>
      <c r="U89">
        <v>4</v>
      </c>
      <c r="V89">
        <v>675.33</v>
      </c>
    </row>
    <row r="90" spans="1:22" x14ac:dyDescent="0.25">
      <c r="A90" t="s">
        <v>386</v>
      </c>
      <c r="B90" s="1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  <c r="O90" t="str">
        <f>IF(OR($N90&lt;EDA_Summary!$B$14,$N90&gt;EDA_Summary!$B$15), "Outlier", "Normal")</f>
        <v>Normal</v>
      </c>
      <c r="S90">
        <v>3</v>
      </c>
      <c r="T90">
        <v>114.81</v>
      </c>
      <c r="U90">
        <v>7</v>
      </c>
      <c r="V90">
        <v>344.43</v>
      </c>
    </row>
    <row r="91" spans="1:22" x14ac:dyDescent="0.25">
      <c r="A91" t="s">
        <v>390</v>
      </c>
      <c r="B91" s="1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  <c r="O91" t="str">
        <f>IF(OR($N91&lt;EDA_Summary!$B$14,$N91&gt;EDA_Summary!$B$15), "Outlier", "Normal")</f>
        <v>Normal</v>
      </c>
      <c r="S91">
        <v>5</v>
      </c>
      <c r="T91">
        <v>455.33</v>
      </c>
      <c r="U91">
        <v>8</v>
      </c>
      <c r="V91">
        <v>2276.65</v>
      </c>
    </row>
    <row r="92" spans="1:22" x14ac:dyDescent="0.25">
      <c r="A92" t="s">
        <v>394</v>
      </c>
      <c r="B92" s="1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  <c r="O92" t="str">
        <f>IF(OR($N92&lt;EDA_Summary!$B$14,$N92&gt;EDA_Summary!$B$15), "Outlier", "Normal")</f>
        <v>Normal</v>
      </c>
      <c r="S92">
        <v>4</v>
      </c>
      <c r="T92">
        <v>182.08</v>
      </c>
      <c r="U92">
        <v>4</v>
      </c>
      <c r="V92">
        <v>728.32</v>
      </c>
    </row>
    <row r="93" spans="1:22" x14ac:dyDescent="0.25">
      <c r="A93" t="s">
        <v>398</v>
      </c>
      <c r="B93" s="1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  <c r="O93" t="str">
        <f>IF(OR($N93&lt;EDA_Summary!$B$14,$N93&gt;EDA_Summary!$B$15), "Outlier", "Normal")</f>
        <v>Normal</v>
      </c>
      <c r="S93">
        <v>5</v>
      </c>
      <c r="T93">
        <v>492.75</v>
      </c>
      <c r="U93">
        <v>6</v>
      </c>
      <c r="V93">
        <v>2463.75</v>
      </c>
    </row>
    <row r="94" spans="1:22" x14ac:dyDescent="0.25">
      <c r="A94" t="s">
        <v>402</v>
      </c>
      <c r="B94" s="1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  <c r="O94" t="str">
        <f>IF(OR($N94&lt;EDA_Summary!$B$14,$N94&gt;EDA_Summary!$B$15), "Outlier", "Normal")</f>
        <v>Normal</v>
      </c>
      <c r="S94">
        <v>4</v>
      </c>
      <c r="T94">
        <v>48.61</v>
      </c>
      <c r="U94">
        <v>7</v>
      </c>
      <c r="V94">
        <v>194.44</v>
      </c>
    </row>
    <row r="95" spans="1:22" x14ac:dyDescent="0.25">
      <c r="A95" t="s">
        <v>406</v>
      </c>
      <c r="B95" s="1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  <c r="O95" t="str">
        <f>IF(OR($N95&lt;EDA_Summary!$B$14,$N95&gt;EDA_Summary!$B$15), "Outlier", "Normal")</f>
        <v>Normal</v>
      </c>
      <c r="S95">
        <v>4</v>
      </c>
      <c r="T95">
        <v>431.01</v>
      </c>
      <c r="U95">
        <v>7</v>
      </c>
      <c r="V95">
        <v>1724.04</v>
      </c>
    </row>
    <row r="96" spans="1:22" x14ac:dyDescent="0.25">
      <c r="A96" t="s">
        <v>410</v>
      </c>
      <c r="B96" s="1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  <c r="O96" t="str">
        <f>IF(OR($N96&lt;EDA_Summary!$B$14,$N96&gt;EDA_Summary!$B$15), "Outlier", "Normal")</f>
        <v>Normal</v>
      </c>
      <c r="S96">
        <v>1</v>
      </c>
      <c r="T96">
        <v>531.17999999999995</v>
      </c>
      <c r="U96">
        <v>6</v>
      </c>
      <c r="V96">
        <v>531.17999999999995</v>
      </c>
    </row>
    <row r="97" spans="1:22" x14ac:dyDescent="0.25">
      <c r="A97" t="s">
        <v>414</v>
      </c>
      <c r="B97" s="1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  <c r="O97" t="str">
        <f>IF(OR($N97&lt;EDA_Summary!$B$14,$N97&gt;EDA_Summary!$B$15), "Outlier", "Normal")</f>
        <v>Normal</v>
      </c>
      <c r="S97">
        <v>4</v>
      </c>
      <c r="T97">
        <v>117.51</v>
      </c>
      <c r="U97">
        <v>7</v>
      </c>
      <c r="V97">
        <v>470.04</v>
      </c>
    </row>
    <row r="98" spans="1:22" x14ac:dyDescent="0.25">
      <c r="A98" t="s">
        <v>418</v>
      </c>
      <c r="B98" s="1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  <c r="O98" t="str">
        <f>IF(OR($N98&lt;EDA_Summary!$B$14,$N98&gt;EDA_Summary!$B$15), "Outlier", "Normal")</f>
        <v>Normal</v>
      </c>
      <c r="S98">
        <v>2</v>
      </c>
      <c r="T98">
        <v>232.83</v>
      </c>
      <c r="U98">
        <v>7</v>
      </c>
      <c r="V98">
        <v>465.66</v>
      </c>
    </row>
    <row r="99" spans="1:22" x14ac:dyDescent="0.25">
      <c r="A99" t="s">
        <v>421</v>
      </c>
      <c r="B99" s="1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  <c r="O99" t="str">
        <f>IF(OR($N99&lt;EDA_Summary!$B$14,$N99&gt;EDA_Summary!$B$15), "Outlier", "Normal")</f>
        <v>Normal</v>
      </c>
      <c r="S99">
        <v>5</v>
      </c>
      <c r="T99">
        <v>619.52</v>
      </c>
      <c r="U99">
        <v>9</v>
      </c>
      <c r="V99">
        <v>3097.6</v>
      </c>
    </row>
    <row r="100" spans="1:22" x14ac:dyDescent="0.25">
      <c r="A100" t="s">
        <v>425</v>
      </c>
      <c r="B100" s="1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  <c r="O100" t="str">
        <f>IF(OR($N100&lt;EDA_Summary!$B$14,$N100&gt;EDA_Summary!$B$15), "Outlier", "Normal")</f>
        <v>Normal</v>
      </c>
      <c r="S100">
        <v>2</v>
      </c>
      <c r="T100">
        <v>228.54</v>
      </c>
      <c r="U100">
        <v>3</v>
      </c>
      <c r="V100">
        <v>457.08</v>
      </c>
    </row>
    <row r="101" spans="1:22" x14ac:dyDescent="0.25">
      <c r="A101" t="s">
        <v>429</v>
      </c>
      <c r="B101" s="1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  <c r="O101" t="str">
        <f>IF(OR($N101&lt;EDA_Summary!$B$14,$N101&gt;EDA_Summary!$B$15), "Outlier", "Normal")</f>
        <v>Normal</v>
      </c>
      <c r="S101">
        <v>1</v>
      </c>
      <c r="T101">
        <v>201.58</v>
      </c>
      <c r="U101">
        <v>2</v>
      </c>
      <c r="V101">
        <v>201.58</v>
      </c>
    </row>
    <row r="102" spans="1:22" x14ac:dyDescent="0.25">
      <c r="A102" t="s">
        <v>433</v>
      </c>
      <c r="B102" s="1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  <c r="O102" t="str">
        <f>IF(OR($N102&lt;EDA_Summary!$B$14,$N102&gt;EDA_Summary!$B$15), "Outlier", "Normal")</f>
        <v>Normal</v>
      </c>
      <c r="S102">
        <v>3</v>
      </c>
      <c r="T102">
        <v>664.79</v>
      </c>
      <c r="U102">
        <v>6</v>
      </c>
      <c r="V102">
        <v>1994.37</v>
      </c>
    </row>
    <row r="103" spans="1:22" x14ac:dyDescent="0.25">
      <c r="A103" t="s">
        <v>437</v>
      </c>
      <c r="B103" s="1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  <c r="O103" t="str">
        <f>IF(OR($N103&lt;EDA_Summary!$B$14,$N103&gt;EDA_Summary!$B$15), "Outlier", "Normal")</f>
        <v>Normal</v>
      </c>
      <c r="S103">
        <v>1</v>
      </c>
      <c r="T103">
        <v>381.02</v>
      </c>
      <c r="U103">
        <v>6</v>
      </c>
      <c r="V103">
        <v>381.02</v>
      </c>
    </row>
    <row r="104" spans="1:22" x14ac:dyDescent="0.25">
      <c r="A104" t="s">
        <v>441</v>
      </c>
      <c r="B104" s="1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  <c r="O104" t="str">
        <f>IF(OR($N104&lt;EDA_Summary!$B$14,$N104&gt;EDA_Summary!$B$15), "Outlier", "Normal")</f>
        <v>Normal</v>
      </c>
      <c r="S104">
        <v>2</v>
      </c>
      <c r="T104">
        <v>70.34</v>
      </c>
      <c r="U104">
        <v>3</v>
      </c>
      <c r="V104">
        <v>140.68</v>
      </c>
    </row>
    <row r="105" spans="1:22" x14ac:dyDescent="0.25">
      <c r="A105" t="s">
        <v>445</v>
      </c>
      <c r="B105" s="1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  <c r="O105" t="str">
        <f>IF(OR($N105&lt;EDA_Summary!$B$14,$N105&gt;EDA_Summary!$B$15), "Outlier", "Normal")</f>
        <v>Normal</v>
      </c>
      <c r="S105">
        <v>4</v>
      </c>
      <c r="T105">
        <v>218.43</v>
      </c>
      <c r="U105">
        <v>9</v>
      </c>
      <c r="V105">
        <v>873.72</v>
      </c>
    </row>
    <row r="106" spans="1:22" x14ac:dyDescent="0.25">
      <c r="A106" t="s">
        <v>449</v>
      </c>
      <c r="B106" s="1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  <c r="O106" t="str">
        <f>IF(OR($N106&lt;EDA_Summary!$B$14,$N106&gt;EDA_Summary!$B$15), "Outlier", "Normal")</f>
        <v>Normal</v>
      </c>
      <c r="S106">
        <v>1</v>
      </c>
      <c r="T106">
        <v>582.04</v>
      </c>
      <c r="U106">
        <v>1</v>
      </c>
      <c r="V106">
        <v>582.04</v>
      </c>
    </row>
    <row r="107" spans="1:22" x14ac:dyDescent="0.25">
      <c r="A107" t="s">
        <v>453</v>
      </c>
      <c r="B107" s="1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  <c r="O107" t="str">
        <f>IF(OR($N107&lt;EDA_Summary!$B$14,$N107&gt;EDA_Summary!$B$15), "Outlier", "Normal")</f>
        <v>Normal</v>
      </c>
      <c r="S107">
        <v>3</v>
      </c>
      <c r="T107">
        <v>185.4</v>
      </c>
      <c r="U107">
        <v>7</v>
      </c>
      <c r="V107">
        <v>556.20000000000005</v>
      </c>
    </row>
    <row r="108" spans="1:22" x14ac:dyDescent="0.25">
      <c r="A108" t="s">
        <v>457</v>
      </c>
      <c r="B108" s="1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  <c r="O108" t="str">
        <f>IF(OR($N108&lt;EDA_Summary!$B$14,$N108&gt;EDA_Summary!$B$15), "Outlier", "Normal")</f>
        <v>Normal</v>
      </c>
      <c r="S108">
        <v>3</v>
      </c>
      <c r="T108">
        <v>465.05</v>
      </c>
      <c r="U108">
        <v>3</v>
      </c>
      <c r="V108">
        <v>1395.15</v>
      </c>
    </row>
    <row r="109" spans="1:22" x14ac:dyDescent="0.25">
      <c r="A109" t="s">
        <v>461</v>
      </c>
      <c r="B109" s="1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  <c r="O109" t="str">
        <f>IF(OR($N109&lt;EDA_Summary!$B$14,$N109&gt;EDA_Summary!$B$15), "Outlier", "Normal")</f>
        <v>Outlier</v>
      </c>
      <c r="S109">
        <v>5</v>
      </c>
      <c r="T109">
        <v>670.75</v>
      </c>
      <c r="U109">
        <v>8</v>
      </c>
      <c r="V109">
        <v>3353.75</v>
      </c>
    </row>
    <row r="110" spans="1:22" x14ac:dyDescent="0.25">
      <c r="A110" t="s">
        <v>465</v>
      </c>
      <c r="B110" s="1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  <c r="O110" t="str">
        <f>IF(OR($N110&lt;EDA_Summary!$B$14,$N110&gt;EDA_Summary!$B$15), "Outlier", "Normal")</f>
        <v>Normal</v>
      </c>
      <c r="S110">
        <v>5</v>
      </c>
      <c r="T110">
        <v>48.38</v>
      </c>
      <c r="U110">
        <v>9</v>
      </c>
      <c r="V110">
        <v>241.9</v>
      </c>
    </row>
    <row r="111" spans="1:22" x14ac:dyDescent="0.25">
      <c r="A111" t="s">
        <v>469</v>
      </c>
      <c r="B111" s="1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  <c r="O111" t="str">
        <f>IF(OR($N111&lt;EDA_Summary!$B$14,$N111&gt;EDA_Summary!$B$15), "Outlier", "Normal")</f>
        <v>Normal</v>
      </c>
      <c r="S111">
        <v>3</v>
      </c>
      <c r="T111">
        <v>592.87</v>
      </c>
      <c r="U111">
        <v>3</v>
      </c>
      <c r="V111">
        <v>1778.61</v>
      </c>
    </row>
    <row r="112" spans="1:22" x14ac:dyDescent="0.25">
      <c r="A112" t="s">
        <v>473</v>
      </c>
      <c r="B112" s="1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  <c r="O112" t="str">
        <f>IF(OR($N112&lt;EDA_Summary!$B$14,$N112&gt;EDA_Summary!$B$15), "Outlier", "Normal")</f>
        <v>Normal</v>
      </c>
      <c r="S112">
        <v>1</v>
      </c>
      <c r="T112">
        <v>220.77</v>
      </c>
      <c r="U112">
        <v>5</v>
      </c>
      <c r="V112">
        <v>220.77</v>
      </c>
    </row>
    <row r="113" spans="1:22" x14ac:dyDescent="0.25">
      <c r="A113" t="s">
        <v>477</v>
      </c>
      <c r="B113" s="1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  <c r="O113" t="str">
        <f>IF(OR($N113&lt;EDA_Summary!$B$14,$N113&gt;EDA_Summary!$B$15), "Outlier", "Normal")</f>
        <v>Normal</v>
      </c>
      <c r="S113">
        <v>3</v>
      </c>
      <c r="T113">
        <v>309.22000000000003</v>
      </c>
      <c r="U113">
        <v>7</v>
      </c>
      <c r="V113">
        <v>927.66000000000008</v>
      </c>
    </row>
    <row r="114" spans="1:22" x14ac:dyDescent="0.25">
      <c r="A114" t="s">
        <v>481</v>
      </c>
      <c r="B114" s="1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  <c r="O114" t="str">
        <f>IF(OR($N114&lt;EDA_Summary!$B$14,$N114&gt;EDA_Summary!$B$15), "Outlier", "Normal")</f>
        <v>Normal</v>
      </c>
      <c r="S114">
        <v>1</v>
      </c>
      <c r="T114">
        <v>410.6</v>
      </c>
      <c r="U114">
        <v>2</v>
      </c>
      <c r="V114">
        <v>410.6</v>
      </c>
    </row>
    <row r="115" spans="1:22" x14ac:dyDescent="0.25">
      <c r="A115" t="s">
        <v>485</v>
      </c>
      <c r="B115" s="1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  <c r="O115" t="str">
        <f>IF(OR($N115&lt;EDA_Summary!$B$14,$N115&gt;EDA_Summary!$B$15), "Outlier", "Normal")</f>
        <v>Normal</v>
      </c>
      <c r="S115">
        <v>5</v>
      </c>
      <c r="T115">
        <v>190.08</v>
      </c>
      <c r="U115">
        <v>9</v>
      </c>
      <c r="V115">
        <v>950.40000000000009</v>
      </c>
    </row>
    <row r="116" spans="1:22" x14ac:dyDescent="0.25">
      <c r="A116" t="s">
        <v>489</v>
      </c>
      <c r="B116" s="1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  <c r="O116" t="str">
        <f>IF(OR($N116&lt;EDA_Summary!$B$14,$N116&gt;EDA_Summary!$B$15), "Outlier", "Normal")</f>
        <v>Normal</v>
      </c>
      <c r="S116">
        <v>5</v>
      </c>
      <c r="T116">
        <v>498.48</v>
      </c>
      <c r="U116">
        <v>8</v>
      </c>
      <c r="V116">
        <v>2492.4</v>
      </c>
    </row>
    <row r="117" spans="1:22" x14ac:dyDescent="0.25">
      <c r="A117" t="s">
        <v>493</v>
      </c>
      <c r="B117" s="1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  <c r="O117" t="str">
        <f>IF(OR($N117&lt;EDA_Summary!$B$14,$N117&gt;EDA_Summary!$B$15), "Outlier", "Normal")</f>
        <v>Normal</v>
      </c>
      <c r="S117">
        <v>5</v>
      </c>
      <c r="T117">
        <v>374.99</v>
      </c>
      <c r="U117">
        <v>9</v>
      </c>
      <c r="V117">
        <v>1874.95</v>
      </c>
    </row>
    <row r="118" spans="1:22" x14ac:dyDescent="0.25">
      <c r="A118" t="s">
        <v>497</v>
      </c>
      <c r="B118" s="1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  <c r="O118" t="str">
        <f>IF(OR($N118&lt;EDA_Summary!$B$14,$N118&gt;EDA_Summary!$B$15), "Outlier", "Normal")</f>
        <v>Normal</v>
      </c>
      <c r="S118">
        <v>4</v>
      </c>
      <c r="T118">
        <v>291.35000000000002</v>
      </c>
      <c r="U118">
        <v>6</v>
      </c>
      <c r="V118">
        <v>1165.4000000000001</v>
      </c>
    </row>
    <row r="119" spans="1:22" x14ac:dyDescent="0.25">
      <c r="A119" t="s">
        <v>501</v>
      </c>
      <c r="B119" s="1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  <c r="O119" t="str">
        <f>IF(OR($N119&lt;EDA_Summary!$B$14,$N119&gt;EDA_Summary!$B$15), "Outlier", "Normal")</f>
        <v>Normal</v>
      </c>
      <c r="S119">
        <v>1</v>
      </c>
      <c r="T119">
        <v>535.5</v>
      </c>
      <c r="U119">
        <v>5</v>
      </c>
      <c r="V119">
        <v>535.5</v>
      </c>
    </row>
    <row r="120" spans="1:22" x14ac:dyDescent="0.25">
      <c r="A120" t="s">
        <v>505</v>
      </c>
      <c r="B120" s="1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  <c r="O120" t="str">
        <f>IF(OR($N120&lt;EDA_Summary!$B$14,$N120&gt;EDA_Summary!$B$15), "Outlier", "Normal")</f>
        <v>Normal</v>
      </c>
      <c r="S120">
        <v>5</v>
      </c>
      <c r="T120">
        <v>502.71</v>
      </c>
      <c r="U120">
        <v>7</v>
      </c>
      <c r="V120">
        <v>2513.5500000000002</v>
      </c>
    </row>
    <row r="121" spans="1:22" x14ac:dyDescent="0.25">
      <c r="A121" t="s">
        <v>509</v>
      </c>
      <c r="B121" s="1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  <c r="O121" t="str">
        <f>IF(OR($N121&lt;EDA_Summary!$B$14,$N121&gt;EDA_Summary!$B$15), "Outlier", "Normal")</f>
        <v>Normal</v>
      </c>
      <c r="S121">
        <v>2</v>
      </c>
      <c r="T121">
        <v>534.66999999999996</v>
      </c>
      <c r="U121">
        <v>7</v>
      </c>
      <c r="V121">
        <v>1069.3399999999999</v>
      </c>
    </row>
    <row r="122" spans="1:22" x14ac:dyDescent="0.25">
      <c r="A122" t="s">
        <v>513</v>
      </c>
      <c r="B122" s="1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  <c r="O122" t="str">
        <f>IF(OR($N122&lt;EDA_Summary!$B$14,$N122&gt;EDA_Summary!$B$15), "Outlier", "Normal")</f>
        <v>Normal</v>
      </c>
      <c r="S122">
        <v>4</v>
      </c>
      <c r="T122">
        <v>629.34</v>
      </c>
      <c r="U122">
        <v>4</v>
      </c>
      <c r="V122">
        <v>2517.36</v>
      </c>
    </row>
    <row r="123" spans="1:22" x14ac:dyDescent="0.25">
      <c r="A123" t="s">
        <v>516</v>
      </c>
      <c r="B123" s="1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  <c r="O123" t="str">
        <f>IF(OR($N123&lt;EDA_Summary!$B$14,$N123&gt;EDA_Summary!$B$15), "Outlier", "Normal")</f>
        <v>Normal</v>
      </c>
      <c r="S123">
        <v>1</v>
      </c>
      <c r="T123">
        <v>410.78</v>
      </c>
      <c r="U123">
        <v>1</v>
      </c>
      <c r="V123">
        <v>410.78</v>
      </c>
    </row>
    <row r="124" spans="1:22" x14ac:dyDescent="0.25">
      <c r="A124" t="s">
        <v>520</v>
      </c>
      <c r="B124" s="1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  <c r="O124" t="str">
        <f>IF(OR($N124&lt;EDA_Summary!$B$14,$N124&gt;EDA_Summary!$B$15), "Outlier", "Normal")</f>
        <v>Normal</v>
      </c>
      <c r="S124">
        <v>2</v>
      </c>
      <c r="T124">
        <v>533.02</v>
      </c>
      <c r="U124">
        <v>2</v>
      </c>
      <c r="V124">
        <v>1066.04</v>
      </c>
    </row>
    <row r="125" spans="1:22" x14ac:dyDescent="0.25">
      <c r="A125" t="s">
        <v>524</v>
      </c>
      <c r="B125" s="1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  <c r="O125" t="str">
        <f>IF(OR($N125&lt;EDA_Summary!$B$14,$N125&gt;EDA_Summary!$B$15), "Outlier", "Normal")</f>
        <v>Normal</v>
      </c>
      <c r="S125">
        <v>3</v>
      </c>
      <c r="T125">
        <v>278.04000000000002</v>
      </c>
      <c r="U125">
        <v>5</v>
      </c>
      <c r="V125">
        <v>834.12000000000012</v>
      </c>
    </row>
    <row r="126" spans="1:22" x14ac:dyDescent="0.25">
      <c r="A126" t="s">
        <v>528</v>
      </c>
      <c r="B126" s="1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  <c r="O126" t="str">
        <f>IF(OR($N126&lt;EDA_Summary!$B$14,$N126&gt;EDA_Summary!$B$15), "Outlier", "Normal")</f>
        <v>Normal</v>
      </c>
      <c r="S126">
        <v>4</v>
      </c>
      <c r="T126">
        <v>283.79000000000002</v>
      </c>
      <c r="U126">
        <v>8</v>
      </c>
      <c r="V126">
        <v>1135.1600000000001</v>
      </c>
    </row>
    <row r="127" spans="1:22" x14ac:dyDescent="0.25">
      <c r="A127" t="s">
        <v>532</v>
      </c>
      <c r="B127" s="1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  <c r="O127" t="str">
        <f>IF(OR($N127&lt;EDA_Summary!$B$14,$N127&gt;EDA_Summary!$B$15), "Outlier", "Normal")</f>
        <v>Normal</v>
      </c>
      <c r="S127">
        <v>2</v>
      </c>
      <c r="T127">
        <v>512.65</v>
      </c>
      <c r="U127">
        <v>5</v>
      </c>
      <c r="V127">
        <v>1025.3</v>
      </c>
    </row>
    <row r="128" spans="1:22" x14ac:dyDescent="0.25">
      <c r="A128" t="s">
        <v>536</v>
      </c>
      <c r="B128" s="1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  <c r="O128" t="str">
        <f>IF(OR($N128&lt;EDA_Summary!$B$14,$N128&gt;EDA_Summary!$B$15), "Outlier", "Normal")</f>
        <v>Normal</v>
      </c>
      <c r="S128">
        <v>4</v>
      </c>
      <c r="T128">
        <v>275.5</v>
      </c>
      <c r="U128">
        <v>8</v>
      </c>
      <c r="V128">
        <v>1102</v>
      </c>
    </row>
    <row r="129" spans="1:22" x14ac:dyDescent="0.25">
      <c r="A129" t="s">
        <v>540</v>
      </c>
      <c r="B129" s="1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  <c r="O129" t="str">
        <f>IF(OR($N129&lt;EDA_Summary!$B$14,$N129&gt;EDA_Summary!$B$15), "Outlier", "Normal")</f>
        <v>Normal</v>
      </c>
      <c r="S129">
        <v>3</v>
      </c>
      <c r="T129">
        <v>469.32</v>
      </c>
      <c r="U129">
        <v>3</v>
      </c>
      <c r="V129">
        <v>1407.96</v>
      </c>
    </row>
    <row r="130" spans="1:22" x14ac:dyDescent="0.25">
      <c r="A130" t="s">
        <v>544</v>
      </c>
      <c r="B130" s="1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  <c r="O130" t="str">
        <f>IF(OR($N130&lt;EDA_Summary!$B$14,$N130&gt;EDA_Summary!$B$15), "Outlier", "Normal")</f>
        <v>Normal</v>
      </c>
      <c r="S130">
        <v>4</v>
      </c>
      <c r="T130">
        <v>21.07</v>
      </c>
      <c r="U130">
        <v>4</v>
      </c>
      <c r="V130">
        <v>84.28</v>
      </c>
    </row>
    <row r="131" spans="1:22" x14ac:dyDescent="0.25">
      <c r="A131" t="s">
        <v>548</v>
      </c>
      <c r="B131" s="1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  <c r="O131" t="str">
        <f>IF(OR($N131&lt;EDA_Summary!$B$14,$N131&gt;EDA_Summary!$B$15), "Outlier", "Normal")</f>
        <v>Normal</v>
      </c>
      <c r="S131">
        <v>4</v>
      </c>
      <c r="T131">
        <v>263.93</v>
      </c>
      <c r="U131">
        <v>4</v>
      </c>
      <c r="V131">
        <v>1055.72</v>
      </c>
    </row>
    <row r="132" spans="1:22" x14ac:dyDescent="0.25">
      <c r="A132" t="s">
        <v>552</v>
      </c>
      <c r="B132" s="1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  <c r="O132" t="str">
        <f>IF(OR($N132&lt;EDA_Summary!$B$14,$N132&gt;EDA_Summary!$B$15), "Outlier", "Normal")</f>
        <v>Normal</v>
      </c>
      <c r="S132">
        <v>3</v>
      </c>
      <c r="T132">
        <v>501.3</v>
      </c>
      <c r="U132">
        <v>3</v>
      </c>
      <c r="V132">
        <v>1503.9</v>
      </c>
    </row>
    <row r="133" spans="1:22" x14ac:dyDescent="0.25">
      <c r="A133" t="s">
        <v>556</v>
      </c>
      <c r="B133" s="1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  <c r="O133" t="str">
        <f>IF(OR($N133&lt;EDA_Summary!$B$14,$N133&gt;EDA_Summary!$B$15), "Outlier", "Normal")</f>
        <v>Normal</v>
      </c>
      <c r="S133">
        <v>1</v>
      </c>
      <c r="T133">
        <v>84.8</v>
      </c>
      <c r="U133">
        <v>5</v>
      </c>
      <c r="V133">
        <v>84.8</v>
      </c>
    </row>
    <row r="134" spans="1:22" x14ac:dyDescent="0.25">
      <c r="A134" t="s">
        <v>560</v>
      </c>
      <c r="B134" s="1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  <c r="O134" t="str">
        <f>IF(OR($N134&lt;EDA_Summary!$B$14,$N134&gt;EDA_Summary!$B$15), "Outlier", "Normal")</f>
        <v>Normal</v>
      </c>
      <c r="S134">
        <v>4</v>
      </c>
      <c r="T134">
        <v>450.75</v>
      </c>
      <c r="U134">
        <v>6</v>
      </c>
      <c r="V134">
        <v>1803</v>
      </c>
    </row>
    <row r="135" spans="1:22" x14ac:dyDescent="0.25">
      <c r="A135" t="s">
        <v>564</v>
      </c>
      <c r="B135" s="1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  <c r="O135" t="str">
        <f>IF(OR($N135&lt;EDA_Summary!$B$14,$N135&gt;EDA_Summary!$B$15), "Outlier", "Normal")</f>
        <v>Normal</v>
      </c>
      <c r="S135">
        <v>4</v>
      </c>
      <c r="T135">
        <v>302.05</v>
      </c>
      <c r="U135">
        <v>6</v>
      </c>
      <c r="V135">
        <v>1208.2</v>
      </c>
    </row>
    <row r="136" spans="1:22" x14ac:dyDescent="0.25">
      <c r="A136" t="s">
        <v>568</v>
      </c>
      <c r="B136" s="1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  <c r="O136" t="str">
        <f>IF(OR($N136&lt;EDA_Summary!$B$14,$N136&gt;EDA_Summary!$B$15), "Outlier", "Normal")</f>
        <v>Normal</v>
      </c>
      <c r="S136">
        <v>2</v>
      </c>
      <c r="T136">
        <v>199.7</v>
      </c>
      <c r="U136">
        <v>4</v>
      </c>
      <c r="V136">
        <v>399.4</v>
      </c>
    </row>
    <row r="137" spans="1:22" x14ac:dyDescent="0.25">
      <c r="A137" t="s">
        <v>571</v>
      </c>
      <c r="B137" s="1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  <c r="O137" t="str">
        <f>IF(OR($N137&lt;EDA_Summary!$B$14,$N137&gt;EDA_Summary!$B$15), "Outlier", "Normal")</f>
        <v>Normal</v>
      </c>
      <c r="S137">
        <v>2</v>
      </c>
      <c r="T137">
        <v>68.81</v>
      </c>
      <c r="U137">
        <v>5</v>
      </c>
      <c r="V137">
        <v>137.62</v>
      </c>
    </row>
    <row r="138" spans="1:22" x14ac:dyDescent="0.25">
      <c r="A138" t="s">
        <v>575</v>
      </c>
      <c r="B138" s="1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  <c r="O138" t="str">
        <f>IF(OR($N138&lt;EDA_Summary!$B$14,$N138&gt;EDA_Summary!$B$15), "Outlier", "Normal")</f>
        <v>Normal</v>
      </c>
      <c r="S138">
        <v>1</v>
      </c>
      <c r="T138">
        <v>44.35</v>
      </c>
      <c r="U138">
        <v>1</v>
      </c>
      <c r="V138">
        <v>44.35</v>
      </c>
    </row>
    <row r="139" spans="1:22" x14ac:dyDescent="0.25">
      <c r="A139" t="s">
        <v>579</v>
      </c>
      <c r="B139" s="1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  <c r="O139" t="str">
        <f>IF(OR($N139&lt;EDA_Summary!$B$14,$N139&gt;EDA_Summary!$B$15), "Outlier", "Normal")</f>
        <v>Normal</v>
      </c>
      <c r="S139">
        <v>2</v>
      </c>
      <c r="T139">
        <v>250.98</v>
      </c>
      <c r="U139">
        <v>5</v>
      </c>
      <c r="V139">
        <v>501.96</v>
      </c>
    </row>
    <row r="140" spans="1:22" x14ac:dyDescent="0.25">
      <c r="A140" t="s">
        <v>583</v>
      </c>
      <c r="B140" s="1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  <c r="O140" t="str">
        <f>IF(OR($N140&lt;EDA_Summary!$B$14,$N140&gt;EDA_Summary!$B$15), "Outlier", "Normal")</f>
        <v>Normal</v>
      </c>
      <c r="S140">
        <v>1</v>
      </c>
      <c r="T140">
        <v>298.06</v>
      </c>
      <c r="U140">
        <v>3</v>
      </c>
      <c r="V140">
        <v>298.06</v>
      </c>
    </row>
    <row r="141" spans="1:22" x14ac:dyDescent="0.25">
      <c r="A141" t="s">
        <v>587</v>
      </c>
      <c r="B141" s="1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  <c r="O141" t="str">
        <f>IF(OR($N141&lt;EDA_Summary!$B$14,$N141&gt;EDA_Summary!$B$15), "Outlier", "Normal")</f>
        <v>Normal</v>
      </c>
      <c r="S141">
        <v>1</v>
      </c>
      <c r="T141">
        <v>583.9</v>
      </c>
      <c r="U141">
        <v>1</v>
      </c>
      <c r="V141">
        <v>583.9</v>
      </c>
    </row>
    <row r="142" spans="1:22" x14ac:dyDescent="0.25">
      <c r="A142" t="s">
        <v>591</v>
      </c>
      <c r="B142" s="1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  <c r="O142" t="str">
        <f>IF(OR($N142&lt;EDA_Summary!$B$14,$N142&gt;EDA_Summary!$B$15), "Outlier", "Normal")</f>
        <v>Normal</v>
      </c>
      <c r="S142">
        <v>3</v>
      </c>
      <c r="T142">
        <v>528.14</v>
      </c>
      <c r="U142">
        <v>3</v>
      </c>
      <c r="V142">
        <v>1584.42</v>
      </c>
    </row>
    <row r="143" spans="1:22" x14ac:dyDescent="0.25">
      <c r="A143" t="s">
        <v>594</v>
      </c>
      <c r="B143" s="1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  <c r="O143" t="str">
        <f>IF(OR($N143&lt;EDA_Summary!$B$14,$N143&gt;EDA_Summary!$B$15), "Outlier", "Normal")</f>
        <v>Normal</v>
      </c>
      <c r="S143">
        <v>3</v>
      </c>
      <c r="T143">
        <v>684.14</v>
      </c>
      <c r="U143">
        <v>3</v>
      </c>
      <c r="V143">
        <v>2052.42</v>
      </c>
    </row>
    <row r="144" spans="1:22" x14ac:dyDescent="0.25">
      <c r="A144" t="s">
        <v>598</v>
      </c>
      <c r="B144" s="1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  <c r="O144" t="str">
        <f>IF(OR($N144&lt;EDA_Summary!$B$14,$N144&gt;EDA_Summary!$B$15), "Outlier", "Normal")</f>
        <v>Normal</v>
      </c>
      <c r="S144">
        <v>5</v>
      </c>
      <c r="T144">
        <v>272.77</v>
      </c>
      <c r="U144">
        <v>7</v>
      </c>
      <c r="V144">
        <v>1363.85</v>
      </c>
    </row>
    <row r="145" spans="1:22" x14ac:dyDescent="0.25">
      <c r="A145" t="s">
        <v>602</v>
      </c>
      <c r="B145" s="1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  <c r="O145" t="str">
        <f>IF(OR($N145&lt;EDA_Summary!$B$14,$N145&gt;EDA_Summary!$B$15), "Outlier", "Normal")</f>
        <v>Normal</v>
      </c>
      <c r="S145">
        <v>4</v>
      </c>
      <c r="T145">
        <v>400.07</v>
      </c>
      <c r="U145">
        <v>5</v>
      </c>
      <c r="V145">
        <v>1600.28</v>
      </c>
    </row>
    <row r="146" spans="1:22" x14ac:dyDescent="0.25">
      <c r="A146" t="s">
        <v>606</v>
      </c>
      <c r="B146" s="1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  <c r="O146" t="str">
        <f>IF(OR($N146&lt;EDA_Summary!$B$14,$N146&gt;EDA_Summary!$B$15), "Outlier", "Normal")</f>
        <v>Normal</v>
      </c>
      <c r="S146">
        <v>5</v>
      </c>
      <c r="T146">
        <v>219.78</v>
      </c>
      <c r="U146">
        <v>8</v>
      </c>
      <c r="V146">
        <v>1098.9000000000001</v>
      </c>
    </row>
    <row r="147" spans="1:22" x14ac:dyDescent="0.25">
      <c r="A147" t="s">
        <v>609</v>
      </c>
      <c r="B147" s="1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  <c r="O147" t="str">
        <f>IF(OR($N147&lt;EDA_Summary!$B$14,$N147&gt;EDA_Summary!$B$15), "Outlier", "Normal")</f>
        <v>Normal</v>
      </c>
      <c r="S147">
        <v>3</v>
      </c>
      <c r="T147">
        <v>146.91</v>
      </c>
      <c r="U147">
        <v>6</v>
      </c>
      <c r="V147">
        <v>440.73</v>
      </c>
    </row>
    <row r="148" spans="1:22" x14ac:dyDescent="0.25">
      <c r="A148" t="s">
        <v>613</v>
      </c>
      <c r="B148" s="1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  <c r="O148" t="str">
        <f>IF(OR($N148&lt;EDA_Summary!$B$14,$N148&gt;EDA_Summary!$B$15), "Outlier", "Normal")</f>
        <v>Normal</v>
      </c>
      <c r="S148">
        <v>2</v>
      </c>
      <c r="T148">
        <v>411.49</v>
      </c>
      <c r="U148">
        <v>4</v>
      </c>
      <c r="V148">
        <v>822.98</v>
      </c>
    </row>
    <row r="149" spans="1:22" x14ac:dyDescent="0.25">
      <c r="A149" t="s">
        <v>617</v>
      </c>
      <c r="B149" s="1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  <c r="O149" t="str">
        <f>IF(OR($N149&lt;EDA_Summary!$B$14,$N149&gt;EDA_Summary!$B$15), "Outlier", "Normal")</f>
        <v>Normal</v>
      </c>
      <c r="S149">
        <v>2</v>
      </c>
      <c r="T149">
        <v>465.18</v>
      </c>
      <c r="U149">
        <v>2</v>
      </c>
      <c r="V149">
        <v>930.36</v>
      </c>
    </row>
    <row r="150" spans="1:22" x14ac:dyDescent="0.25">
      <c r="A150" t="s">
        <v>621</v>
      </c>
      <c r="B150" s="1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  <c r="O150" t="str">
        <f>IF(OR($N150&lt;EDA_Summary!$B$14,$N150&gt;EDA_Summary!$B$15), "Outlier", "Normal")</f>
        <v>Normal</v>
      </c>
      <c r="S150">
        <v>2</v>
      </c>
      <c r="T150">
        <v>319.91000000000003</v>
      </c>
      <c r="U150">
        <v>3</v>
      </c>
      <c r="V150">
        <v>639.82000000000005</v>
      </c>
    </row>
    <row r="151" spans="1:22" x14ac:dyDescent="0.25">
      <c r="A151" t="s">
        <v>625</v>
      </c>
      <c r="B151" s="1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  <c r="O151" t="str">
        <f>IF(OR($N151&lt;EDA_Summary!$B$14,$N151&gt;EDA_Summary!$B$15), "Outlier", "Normal")</f>
        <v>Normal</v>
      </c>
      <c r="S151">
        <v>1</v>
      </c>
      <c r="T151">
        <v>217.56</v>
      </c>
      <c r="U151">
        <v>3</v>
      </c>
      <c r="V151">
        <v>217.56</v>
      </c>
    </row>
    <row r="152" spans="1:22" x14ac:dyDescent="0.25">
      <c r="A152" t="s">
        <v>629</v>
      </c>
      <c r="B152" s="1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  <c r="O152" t="str">
        <f>IF(OR($N152&lt;EDA_Summary!$B$14,$N152&gt;EDA_Summary!$B$15), "Outlier", "Normal")</f>
        <v>Normal</v>
      </c>
      <c r="S152">
        <v>2</v>
      </c>
      <c r="T152">
        <v>105.57</v>
      </c>
      <c r="U152">
        <v>5</v>
      </c>
      <c r="V152">
        <v>211.14</v>
      </c>
    </row>
    <row r="153" spans="1:22" x14ac:dyDescent="0.25">
      <c r="A153" t="s">
        <v>633</v>
      </c>
      <c r="B153" s="1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  <c r="O153" t="str">
        <f>IF(OR($N153&lt;EDA_Summary!$B$14,$N153&gt;EDA_Summary!$B$15), "Outlier", "Normal")</f>
        <v>Normal</v>
      </c>
      <c r="S153">
        <v>5</v>
      </c>
      <c r="T153">
        <v>444.76</v>
      </c>
      <c r="U153">
        <v>7</v>
      </c>
      <c r="V153">
        <v>2223.8000000000002</v>
      </c>
    </row>
    <row r="154" spans="1:22" x14ac:dyDescent="0.25">
      <c r="A154" t="s">
        <v>637</v>
      </c>
      <c r="B154" s="1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  <c r="O154" t="str">
        <f>IF(OR($N154&lt;EDA_Summary!$B$14,$N154&gt;EDA_Summary!$B$15), "Outlier", "Normal")</f>
        <v>Normal</v>
      </c>
      <c r="S154">
        <v>2</v>
      </c>
      <c r="T154">
        <v>399.04</v>
      </c>
      <c r="U154">
        <v>3</v>
      </c>
      <c r="V154">
        <v>798.08</v>
      </c>
    </row>
    <row r="155" spans="1:22" x14ac:dyDescent="0.25">
      <c r="A155" t="s">
        <v>641</v>
      </c>
      <c r="B155" s="1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  <c r="O155" t="str">
        <f>IF(OR($N155&lt;EDA_Summary!$B$14,$N155&gt;EDA_Summary!$B$15), "Outlier", "Normal")</f>
        <v>Normal</v>
      </c>
      <c r="S155">
        <v>4</v>
      </c>
      <c r="T155">
        <v>534.48</v>
      </c>
      <c r="U155">
        <v>9</v>
      </c>
      <c r="V155">
        <v>2137.92</v>
      </c>
    </row>
    <row r="156" spans="1:22" x14ac:dyDescent="0.25">
      <c r="A156" t="s">
        <v>645</v>
      </c>
      <c r="B156" s="1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  <c r="O156" t="str">
        <f>IF(OR($N156&lt;EDA_Summary!$B$14,$N156&gt;EDA_Summary!$B$15), "Outlier", "Normal")</f>
        <v>Normal</v>
      </c>
      <c r="S156">
        <v>4</v>
      </c>
      <c r="T156">
        <v>408.21</v>
      </c>
      <c r="U156">
        <v>9</v>
      </c>
      <c r="V156">
        <v>1632.84</v>
      </c>
    </row>
    <row r="157" spans="1:22" x14ac:dyDescent="0.25">
      <c r="A157" t="s">
        <v>648</v>
      </c>
      <c r="B157" s="1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  <c r="O157" t="str">
        <f>IF(OR($N157&lt;EDA_Summary!$B$14,$N157&gt;EDA_Summary!$B$15), "Outlier", "Normal")</f>
        <v>Normal</v>
      </c>
      <c r="S157">
        <v>1</v>
      </c>
      <c r="T157">
        <v>424.4</v>
      </c>
      <c r="U157">
        <v>6</v>
      </c>
      <c r="V157">
        <v>424.4</v>
      </c>
    </row>
    <row r="158" spans="1:22" x14ac:dyDescent="0.25">
      <c r="A158" t="s">
        <v>651</v>
      </c>
      <c r="B158" s="1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  <c r="O158" t="str">
        <f>IF(OR($N158&lt;EDA_Summary!$B$14,$N158&gt;EDA_Summary!$B$15), "Outlier", "Normal")</f>
        <v>Normal</v>
      </c>
      <c r="S158">
        <v>2</v>
      </c>
      <c r="T158">
        <v>269.83</v>
      </c>
      <c r="U158">
        <v>4</v>
      </c>
      <c r="V158">
        <v>539.66</v>
      </c>
    </row>
    <row r="159" spans="1:22" x14ac:dyDescent="0.25">
      <c r="A159" t="s">
        <v>655</v>
      </c>
      <c r="B159" s="1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  <c r="O159" t="str">
        <f>IF(OR($N159&lt;EDA_Summary!$B$14,$N159&gt;EDA_Summary!$B$15), "Outlier", "Normal")</f>
        <v>Normal</v>
      </c>
      <c r="S159">
        <v>2</v>
      </c>
      <c r="T159">
        <v>564.58000000000004</v>
      </c>
      <c r="U159">
        <v>4</v>
      </c>
      <c r="V159">
        <v>1129.1600000000001</v>
      </c>
    </row>
    <row r="160" spans="1:22" x14ac:dyDescent="0.25">
      <c r="A160" t="s">
        <v>658</v>
      </c>
      <c r="B160" s="1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  <c r="O160" t="str">
        <f>IF(OR($N160&lt;EDA_Summary!$B$14,$N160&gt;EDA_Summary!$B$15), "Outlier", "Normal")</f>
        <v>Normal</v>
      </c>
      <c r="S160">
        <v>1</v>
      </c>
      <c r="T160">
        <v>331.06</v>
      </c>
      <c r="U160">
        <v>5</v>
      </c>
      <c r="V160">
        <v>331.06</v>
      </c>
    </row>
    <row r="161" spans="1:22" x14ac:dyDescent="0.25">
      <c r="A161" t="s">
        <v>662</v>
      </c>
      <c r="B161" s="1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  <c r="O161" t="str">
        <f>IF(OR($N161&lt;EDA_Summary!$B$14,$N161&gt;EDA_Summary!$B$15), "Outlier", "Normal")</f>
        <v>Normal</v>
      </c>
      <c r="S161">
        <v>1</v>
      </c>
      <c r="T161">
        <v>299.35000000000002</v>
      </c>
      <c r="U161">
        <v>5</v>
      </c>
      <c r="V161">
        <v>299.35000000000002</v>
      </c>
    </row>
    <row r="162" spans="1:22" x14ac:dyDescent="0.25">
      <c r="A162" t="s">
        <v>666</v>
      </c>
      <c r="B162" s="1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  <c r="O162" t="str">
        <f>IF(OR($N162&lt;EDA_Summary!$B$14,$N162&gt;EDA_Summary!$B$15), "Outlier", "Normal")</f>
        <v>Normal</v>
      </c>
      <c r="S162">
        <v>4</v>
      </c>
      <c r="T162">
        <v>101.32</v>
      </c>
      <c r="U162">
        <v>7</v>
      </c>
      <c r="V162">
        <v>405.28</v>
      </c>
    </row>
    <row r="163" spans="1:22" x14ac:dyDescent="0.25">
      <c r="A163" t="s">
        <v>670</v>
      </c>
      <c r="B163" s="1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  <c r="O163" t="str">
        <f>IF(OR($N163&lt;EDA_Summary!$B$14,$N163&gt;EDA_Summary!$B$15), "Outlier", "Normal")</f>
        <v>Normal</v>
      </c>
      <c r="S163">
        <v>1</v>
      </c>
      <c r="T163">
        <v>211.14</v>
      </c>
      <c r="U163">
        <v>1</v>
      </c>
      <c r="V163">
        <v>211.14</v>
      </c>
    </row>
    <row r="164" spans="1:22" x14ac:dyDescent="0.25">
      <c r="A164" t="s">
        <v>673</v>
      </c>
      <c r="B164" s="1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  <c r="O164" t="str">
        <f>IF(OR($N164&lt;EDA_Summary!$B$14,$N164&gt;EDA_Summary!$B$15), "Outlier", "Normal")</f>
        <v>Normal</v>
      </c>
      <c r="S164">
        <v>3</v>
      </c>
      <c r="T164">
        <v>65.86</v>
      </c>
      <c r="U164">
        <v>8</v>
      </c>
      <c r="V164">
        <v>197.58</v>
      </c>
    </row>
    <row r="165" spans="1:22" x14ac:dyDescent="0.25">
      <c r="A165" t="s">
        <v>676</v>
      </c>
      <c r="B165" s="1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  <c r="O165" t="str">
        <f>IF(OR($N165&lt;EDA_Summary!$B$14,$N165&gt;EDA_Summary!$B$15), "Outlier", "Normal")</f>
        <v>Normal</v>
      </c>
      <c r="S165">
        <v>1</v>
      </c>
      <c r="T165">
        <v>641.39</v>
      </c>
      <c r="U165">
        <v>1</v>
      </c>
      <c r="V165">
        <v>641.39</v>
      </c>
    </row>
    <row r="166" spans="1:22" x14ac:dyDescent="0.25">
      <c r="A166" t="s">
        <v>680</v>
      </c>
      <c r="B166" s="1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  <c r="O166" t="str">
        <f>IF(OR($N166&lt;EDA_Summary!$B$14,$N166&gt;EDA_Summary!$B$15), "Outlier", "Normal")</f>
        <v>Normal</v>
      </c>
      <c r="S166">
        <v>5</v>
      </c>
      <c r="T166">
        <v>536.58000000000004</v>
      </c>
      <c r="U166">
        <v>5</v>
      </c>
      <c r="V166">
        <v>2682.9</v>
      </c>
    </row>
    <row r="167" spans="1:22" x14ac:dyDescent="0.25">
      <c r="A167" t="s">
        <v>684</v>
      </c>
      <c r="B167" s="1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  <c r="O167" t="str">
        <f>IF(OR($N167&lt;EDA_Summary!$B$14,$N167&gt;EDA_Summary!$B$15), "Outlier", "Normal")</f>
        <v>Normal</v>
      </c>
      <c r="S167">
        <v>2</v>
      </c>
      <c r="T167">
        <v>500.29</v>
      </c>
      <c r="U167">
        <v>7</v>
      </c>
      <c r="V167">
        <v>1000.58</v>
      </c>
    </row>
    <row r="168" spans="1:22" x14ac:dyDescent="0.25">
      <c r="A168" t="s">
        <v>688</v>
      </c>
      <c r="B168" s="1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  <c r="O168" t="str">
        <f>IF(OR($N168&lt;EDA_Summary!$B$14,$N168&gt;EDA_Summary!$B$15), "Outlier", "Normal")</f>
        <v>Normal</v>
      </c>
      <c r="S168">
        <v>3</v>
      </c>
      <c r="T168">
        <v>86.29</v>
      </c>
      <c r="U168">
        <v>6</v>
      </c>
      <c r="V168">
        <v>258.87</v>
      </c>
    </row>
    <row r="169" spans="1:22" x14ac:dyDescent="0.25">
      <c r="A169" t="s">
        <v>691</v>
      </c>
      <c r="B169" s="1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  <c r="O169" t="str">
        <f>IF(OR($N169&lt;EDA_Summary!$B$14,$N169&gt;EDA_Summary!$B$15), "Outlier", "Normal")</f>
        <v>Normal</v>
      </c>
      <c r="S169">
        <v>2</v>
      </c>
      <c r="T169">
        <v>384.14</v>
      </c>
      <c r="U169">
        <v>2</v>
      </c>
      <c r="V169">
        <v>768.28</v>
      </c>
    </row>
    <row r="170" spans="1:22" x14ac:dyDescent="0.25">
      <c r="A170" t="s">
        <v>695</v>
      </c>
      <c r="B170" s="1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  <c r="O170" t="str">
        <f>IF(OR($N170&lt;EDA_Summary!$B$14,$N170&gt;EDA_Summary!$B$15), "Outlier", "Normal")</f>
        <v>Normal</v>
      </c>
      <c r="S170">
        <v>1</v>
      </c>
      <c r="T170">
        <v>594.96</v>
      </c>
      <c r="U170">
        <v>6</v>
      </c>
      <c r="V170">
        <v>594.96</v>
      </c>
    </row>
    <row r="171" spans="1:22" x14ac:dyDescent="0.25">
      <c r="A171" t="s">
        <v>699</v>
      </c>
      <c r="B171" s="1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  <c r="O171" t="str">
        <f>IF(OR($N171&lt;EDA_Summary!$B$14,$N171&gt;EDA_Summary!$B$15), "Outlier", "Normal")</f>
        <v>Normal</v>
      </c>
      <c r="S171">
        <v>1</v>
      </c>
      <c r="T171">
        <v>427.82</v>
      </c>
      <c r="U171">
        <v>2</v>
      </c>
      <c r="V171">
        <v>427.82</v>
      </c>
    </row>
    <row r="172" spans="1:22" x14ac:dyDescent="0.25">
      <c r="A172" t="s">
        <v>703</v>
      </c>
      <c r="B172" s="1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  <c r="O172" t="str">
        <f>IF(OR($N172&lt;EDA_Summary!$B$14,$N172&gt;EDA_Summary!$B$15), "Outlier", "Normal")</f>
        <v>Normal</v>
      </c>
      <c r="S172">
        <v>4</v>
      </c>
      <c r="T172">
        <v>662.94</v>
      </c>
      <c r="U172">
        <v>8</v>
      </c>
      <c r="V172">
        <v>2651.76</v>
      </c>
    </row>
    <row r="173" spans="1:22" x14ac:dyDescent="0.25">
      <c r="A173" t="s">
        <v>707</v>
      </c>
      <c r="B173" s="1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  <c r="O173" t="str">
        <f>IF(OR($N173&lt;EDA_Summary!$B$14,$N173&gt;EDA_Summary!$B$15), "Outlier", "Normal")</f>
        <v>Normal</v>
      </c>
      <c r="S173">
        <v>2</v>
      </c>
      <c r="T173">
        <v>148.22</v>
      </c>
      <c r="U173">
        <v>7</v>
      </c>
      <c r="V173">
        <v>296.44</v>
      </c>
    </row>
    <row r="174" spans="1:22" x14ac:dyDescent="0.25">
      <c r="A174" t="s">
        <v>711</v>
      </c>
      <c r="B174" s="1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  <c r="O174" t="str">
        <f>IF(OR($N174&lt;EDA_Summary!$B$14,$N174&gt;EDA_Summary!$B$15), "Outlier", "Normal")</f>
        <v>Normal</v>
      </c>
      <c r="S174">
        <v>1</v>
      </c>
      <c r="T174">
        <v>254.12</v>
      </c>
      <c r="U174">
        <v>1</v>
      </c>
      <c r="V174">
        <v>254.12</v>
      </c>
    </row>
    <row r="175" spans="1:22" x14ac:dyDescent="0.25">
      <c r="A175" t="s">
        <v>714</v>
      </c>
      <c r="B175" s="1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  <c r="O175" t="str">
        <f>IF(OR($N175&lt;EDA_Summary!$B$14,$N175&gt;EDA_Summary!$B$15), "Outlier", "Normal")</f>
        <v>Normal</v>
      </c>
      <c r="S175">
        <v>3</v>
      </c>
      <c r="T175">
        <v>664.46</v>
      </c>
      <c r="U175">
        <v>4</v>
      </c>
      <c r="V175">
        <v>1993.38</v>
      </c>
    </row>
    <row r="176" spans="1:22" x14ac:dyDescent="0.25">
      <c r="A176" t="s">
        <v>718</v>
      </c>
      <c r="B176" s="1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  <c r="O176" t="str">
        <f>IF(OR($N176&lt;EDA_Summary!$B$14,$N176&gt;EDA_Summary!$B$15), "Outlier", "Normal")</f>
        <v>Normal</v>
      </c>
      <c r="S176">
        <v>4</v>
      </c>
      <c r="T176">
        <v>600.80999999999995</v>
      </c>
      <c r="U176">
        <v>9</v>
      </c>
      <c r="V176">
        <v>2403.2399999999998</v>
      </c>
    </row>
    <row r="177" spans="1:22" x14ac:dyDescent="0.25">
      <c r="A177" t="s">
        <v>722</v>
      </c>
      <c r="B177" s="1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  <c r="O177" t="str">
        <f>IF(OR($N177&lt;EDA_Summary!$B$14,$N177&gt;EDA_Summary!$B$15), "Outlier", "Normal")</f>
        <v>Normal</v>
      </c>
      <c r="S177">
        <v>5</v>
      </c>
      <c r="T177">
        <v>68.34</v>
      </c>
      <c r="U177">
        <v>6</v>
      </c>
      <c r="V177">
        <v>341.7</v>
      </c>
    </row>
    <row r="178" spans="1:22" x14ac:dyDescent="0.25">
      <c r="A178" t="s">
        <v>726</v>
      </c>
      <c r="B178" s="1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  <c r="O178" t="str">
        <f>IF(OR($N178&lt;EDA_Summary!$B$14,$N178&gt;EDA_Summary!$B$15), "Outlier", "Normal")</f>
        <v>Normal</v>
      </c>
      <c r="S178">
        <v>4</v>
      </c>
      <c r="T178">
        <v>430.83</v>
      </c>
      <c r="U178">
        <v>8</v>
      </c>
      <c r="V178">
        <v>1723.32</v>
      </c>
    </row>
    <row r="179" spans="1:22" x14ac:dyDescent="0.25">
      <c r="A179" t="s">
        <v>730</v>
      </c>
      <c r="B179" s="1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  <c r="O179" t="str">
        <f>IF(OR($N179&lt;EDA_Summary!$B$14,$N179&gt;EDA_Summary!$B$15), "Outlier", "Normal")</f>
        <v>Normal</v>
      </c>
      <c r="S179">
        <v>5</v>
      </c>
      <c r="T179">
        <v>431.69</v>
      </c>
      <c r="U179">
        <v>10</v>
      </c>
      <c r="V179">
        <v>2158.4499999999998</v>
      </c>
    </row>
    <row r="180" spans="1:22" x14ac:dyDescent="0.25">
      <c r="A180" t="s">
        <v>734</v>
      </c>
      <c r="B180" s="1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  <c r="O180" t="str">
        <f>IF(OR($N180&lt;EDA_Summary!$B$14,$N180&gt;EDA_Summary!$B$15), "Outlier", "Normal")</f>
        <v>Normal</v>
      </c>
      <c r="S180">
        <v>4</v>
      </c>
      <c r="T180">
        <v>512.05999999999995</v>
      </c>
      <c r="U180">
        <v>5</v>
      </c>
      <c r="V180">
        <v>2048.2399999999998</v>
      </c>
    </row>
    <row r="181" spans="1:22" x14ac:dyDescent="0.25">
      <c r="A181" t="s">
        <v>738</v>
      </c>
      <c r="B181" s="1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  <c r="O181" t="str">
        <f>IF(OR($N181&lt;EDA_Summary!$B$14,$N181&gt;EDA_Summary!$B$15), "Outlier", "Normal")</f>
        <v>Normal</v>
      </c>
      <c r="S181">
        <v>3</v>
      </c>
      <c r="T181">
        <v>539.91</v>
      </c>
      <c r="U181">
        <v>8</v>
      </c>
      <c r="V181">
        <v>1619.73</v>
      </c>
    </row>
    <row r="182" spans="1:22" x14ac:dyDescent="0.25">
      <c r="A182" t="s">
        <v>742</v>
      </c>
      <c r="B182" s="1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  <c r="O182" t="str">
        <f>IF(OR($N182&lt;EDA_Summary!$B$14,$N182&gt;EDA_Summary!$B$15), "Outlier", "Normal")</f>
        <v>Normal</v>
      </c>
      <c r="S182">
        <v>5</v>
      </c>
      <c r="T182">
        <v>316.07</v>
      </c>
      <c r="U182">
        <v>10</v>
      </c>
      <c r="V182">
        <v>1580.35</v>
      </c>
    </row>
    <row r="183" spans="1:22" x14ac:dyDescent="0.25">
      <c r="A183" t="s">
        <v>746</v>
      </c>
      <c r="B183" s="1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  <c r="O183" t="str">
        <f>IF(OR($N183&lt;EDA_Summary!$B$14,$N183&gt;EDA_Summary!$B$15), "Outlier", "Normal")</f>
        <v>Normal</v>
      </c>
      <c r="S183">
        <v>5</v>
      </c>
      <c r="T183">
        <v>404.39</v>
      </c>
      <c r="U183">
        <v>10</v>
      </c>
      <c r="V183">
        <v>2021.95</v>
      </c>
    </row>
    <row r="184" spans="1:22" x14ac:dyDescent="0.25">
      <c r="A184" t="s">
        <v>750</v>
      </c>
      <c r="B184" s="1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  <c r="O184" t="str">
        <f>IF(OR($N184&lt;EDA_Summary!$B$14,$N184&gt;EDA_Summary!$B$15), "Outlier", "Normal")</f>
        <v>Normal</v>
      </c>
      <c r="S184">
        <v>1</v>
      </c>
      <c r="T184">
        <v>600.54</v>
      </c>
      <c r="U184">
        <v>4</v>
      </c>
      <c r="V184">
        <v>600.54</v>
      </c>
    </row>
    <row r="185" spans="1:22" x14ac:dyDescent="0.25">
      <c r="A185" t="s">
        <v>754</v>
      </c>
      <c r="B185" s="1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  <c r="O185" t="str">
        <f>IF(OR($N185&lt;EDA_Summary!$B$14,$N185&gt;EDA_Summary!$B$15), "Outlier", "Normal")</f>
        <v>Normal</v>
      </c>
      <c r="S185">
        <v>5</v>
      </c>
      <c r="T185">
        <v>186.28</v>
      </c>
      <c r="U185">
        <v>8</v>
      </c>
      <c r="V185">
        <v>931.4</v>
      </c>
    </row>
    <row r="186" spans="1:22" x14ac:dyDescent="0.25">
      <c r="A186" t="s">
        <v>758</v>
      </c>
      <c r="B186" s="1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  <c r="O186" t="str">
        <f>IF(OR($N186&lt;EDA_Summary!$B$14,$N186&gt;EDA_Summary!$B$15), "Outlier", "Normal")</f>
        <v>Normal</v>
      </c>
      <c r="S186">
        <v>4</v>
      </c>
      <c r="T186">
        <v>214.54</v>
      </c>
      <c r="U186">
        <v>7</v>
      </c>
      <c r="V186">
        <v>858.16</v>
      </c>
    </row>
    <row r="187" spans="1:22" x14ac:dyDescent="0.25">
      <c r="A187" t="s">
        <v>762</v>
      </c>
      <c r="B187" s="1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  <c r="O187" t="str">
        <f>IF(OR($N187&lt;EDA_Summary!$B$14,$N187&gt;EDA_Summary!$B$15), "Outlier", "Normal")</f>
        <v>Normal</v>
      </c>
      <c r="S187">
        <v>1</v>
      </c>
      <c r="T187">
        <v>210.7</v>
      </c>
      <c r="U187">
        <v>2</v>
      </c>
      <c r="V187">
        <v>210.7</v>
      </c>
    </row>
    <row r="188" spans="1:22" x14ac:dyDescent="0.25">
      <c r="A188" t="s">
        <v>766</v>
      </c>
      <c r="B188" s="1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  <c r="O188" t="str">
        <f>IF(OR($N188&lt;EDA_Summary!$B$14,$N188&gt;EDA_Summary!$B$15), "Outlier", "Normal")</f>
        <v>Normal</v>
      </c>
      <c r="S188">
        <v>2</v>
      </c>
      <c r="T188">
        <v>133.55000000000001</v>
      </c>
      <c r="U188">
        <v>7</v>
      </c>
      <c r="V188">
        <v>267.10000000000002</v>
      </c>
    </row>
    <row r="189" spans="1:22" x14ac:dyDescent="0.25">
      <c r="A189" t="s">
        <v>770</v>
      </c>
      <c r="B189" s="1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  <c r="O189" t="str">
        <f>IF(OR($N189&lt;EDA_Summary!$B$14,$N189&gt;EDA_Summary!$B$15), "Outlier", "Normal")</f>
        <v>Normal</v>
      </c>
      <c r="S189">
        <v>1</v>
      </c>
      <c r="T189">
        <v>590.87</v>
      </c>
      <c r="U189">
        <v>6</v>
      </c>
      <c r="V189">
        <v>590.87</v>
      </c>
    </row>
    <row r="190" spans="1:22" x14ac:dyDescent="0.25">
      <c r="A190" t="s">
        <v>774</v>
      </c>
      <c r="B190" s="1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  <c r="O190" t="str">
        <f>IF(OR($N190&lt;EDA_Summary!$B$14,$N190&gt;EDA_Summary!$B$15), "Outlier", "Normal")</f>
        <v>Normal</v>
      </c>
      <c r="S190">
        <v>2</v>
      </c>
      <c r="T190">
        <v>363.91</v>
      </c>
      <c r="U190">
        <v>2</v>
      </c>
      <c r="V190">
        <v>727.82</v>
      </c>
    </row>
    <row r="191" spans="1:22" x14ac:dyDescent="0.25">
      <c r="A191" t="s">
        <v>778</v>
      </c>
      <c r="B191" s="1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  <c r="O191" t="str">
        <f>IF(OR($N191&lt;EDA_Summary!$B$14,$N191&gt;EDA_Summary!$B$15), "Outlier", "Normal")</f>
        <v>Normal</v>
      </c>
      <c r="S191">
        <v>5</v>
      </c>
      <c r="T191">
        <v>429.45</v>
      </c>
      <c r="U191">
        <v>5</v>
      </c>
      <c r="V191">
        <v>2147.25</v>
      </c>
    </row>
    <row r="192" spans="1:22" x14ac:dyDescent="0.25">
      <c r="A192" t="s">
        <v>782</v>
      </c>
      <c r="B192" s="1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  <c r="O192" t="str">
        <f>IF(OR($N192&lt;EDA_Summary!$B$14,$N192&gt;EDA_Summary!$B$15), "Outlier", "Normal")</f>
        <v>Normal</v>
      </c>
      <c r="S192">
        <v>3</v>
      </c>
      <c r="T192">
        <v>223.7</v>
      </c>
      <c r="U192">
        <v>3</v>
      </c>
      <c r="V192">
        <v>671.09999999999991</v>
      </c>
    </row>
    <row r="193" spans="1:22" x14ac:dyDescent="0.25">
      <c r="A193" t="s">
        <v>786</v>
      </c>
      <c r="B193" s="1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  <c r="O193" t="str">
        <f>IF(OR($N193&lt;EDA_Summary!$B$14,$N193&gt;EDA_Summary!$B$15), "Outlier", "Normal")</f>
        <v>Normal</v>
      </c>
      <c r="S193">
        <v>2</v>
      </c>
      <c r="T193">
        <v>488.87</v>
      </c>
      <c r="U193">
        <v>4</v>
      </c>
      <c r="V193">
        <v>977.74</v>
      </c>
    </row>
    <row r="194" spans="1:22" x14ac:dyDescent="0.25">
      <c r="A194" t="s">
        <v>790</v>
      </c>
      <c r="B194" s="1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  <c r="O194" t="str">
        <f>IF(OR($N194&lt;EDA_Summary!$B$14,$N194&gt;EDA_Summary!$B$15), "Outlier", "Normal")</f>
        <v>Normal</v>
      </c>
      <c r="S194">
        <v>1</v>
      </c>
      <c r="T194">
        <v>645.46</v>
      </c>
      <c r="U194">
        <v>5</v>
      </c>
      <c r="V194">
        <v>645.46</v>
      </c>
    </row>
    <row r="195" spans="1:22" x14ac:dyDescent="0.25">
      <c r="A195" t="s">
        <v>793</v>
      </c>
      <c r="B195" s="1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  <c r="O195" t="str">
        <f>IF(OR($N195&lt;EDA_Summary!$B$14,$N195&gt;EDA_Summary!$B$15), "Outlier", "Normal")</f>
        <v>Normal</v>
      </c>
      <c r="S195">
        <v>1</v>
      </c>
      <c r="T195">
        <v>46.66</v>
      </c>
      <c r="U195">
        <v>6</v>
      </c>
      <c r="V195">
        <v>46.66</v>
      </c>
    </row>
    <row r="196" spans="1:22" x14ac:dyDescent="0.25">
      <c r="A196" t="s">
        <v>797</v>
      </c>
      <c r="B196" s="1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  <c r="O196" t="str">
        <f>IF(OR($N196&lt;EDA_Summary!$B$14,$N196&gt;EDA_Summary!$B$15), "Outlier", "Normal")</f>
        <v>Normal</v>
      </c>
      <c r="S196">
        <v>1</v>
      </c>
      <c r="T196">
        <v>249.57</v>
      </c>
      <c r="U196">
        <v>3</v>
      </c>
      <c r="V196">
        <v>249.57</v>
      </c>
    </row>
    <row r="197" spans="1:22" x14ac:dyDescent="0.25">
      <c r="A197" t="s">
        <v>801</v>
      </c>
      <c r="B197" s="1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  <c r="O197" t="str">
        <f>IF(OR($N197&lt;EDA_Summary!$B$14,$N197&gt;EDA_Summary!$B$15), "Outlier", "Normal")</f>
        <v>Normal</v>
      </c>
      <c r="S197">
        <v>3</v>
      </c>
      <c r="T197">
        <v>619.21</v>
      </c>
      <c r="U197">
        <v>6</v>
      </c>
      <c r="V197">
        <v>1857.63</v>
      </c>
    </row>
    <row r="198" spans="1:22" x14ac:dyDescent="0.25">
      <c r="A198" t="s">
        <v>805</v>
      </c>
      <c r="B198" s="1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  <c r="O198" t="str">
        <f>IF(OR($N198&lt;EDA_Summary!$B$14,$N198&gt;EDA_Summary!$B$15), "Outlier", "Normal")</f>
        <v>Normal</v>
      </c>
      <c r="S198">
        <v>4</v>
      </c>
      <c r="T198">
        <v>217.13</v>
      </c>
      <c r="U198">
        <v>8</v>
      </c>
      <c r="V198">
        <v>868.52</v>
      </c>
    </row>
    <row r="199" spans="1:22" x14ac:dyDescent="0.25">
      <c r="A199" t="s">
        <v>809</v>
      </c>
      <c r="B199" s="1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  <c r="O199" t="str">
        <f>IF(OR($N199&lt;EDA_Summary!$B$14,$N199&gt;EDA_Summary!$B$15), "Outlier", "Normal")</f>
        <v>Normal</v>
      </c>
      <c r="S199">
        <v>5</v>
      </c>
      <c r="T199">
        <v>221.51</v>
      </c>
      <c r="U199">
        <v>5</v>
      </c>
      <c r="V199">
        <v>1107.55</v>
      </c>
    </row>
    <row r="200" spans="1:22" x14ac:dyDescent="0.25">
      <c r="A200" t="s">
        <v>813</v>
      </c>
      <c r="B200" s="1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  <c r="O200" t="str">
        <f>IF(OR($N200&lt;EDA_Summary!$B$14,$N200&gt;EDA_Summary!$B$15), "Outlier", "Normal")</f>
        <v>Normal</v>
      </c>
      <c r="S200">
        <v>4</v>
      </c>
      <c r="T200">
        <v>340.3</v>
      </c>
      <c r="U200">
        <v>8</v>
      </c>
      <c r="V200">
        <v>1361.2</v>
      </c>
    </row>
    <row r="201" spans="1:22" x14ac:dyDescent="0.25">
      <c r="A201" t="s">
        <v>816</v>
      </c>
      <c r="B201" s="1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  <c r="O201" t="str">
        <f>IF(OR($N201&lt;EDA_Summary!$B$14,$N201&gt;EDA_Summary!$B$15), "Outlier", "Normal")</f>
        <v>Normal</v>
      </c>
      <c r="S201">
        <v>1</v>
      </c>
      <c r="T201">
        <v>625</v>
      </c>
      <c r="U201">
        <v>5</v>
      </c>
      <c r="V201">
        <v>625</v>
      </c>
    </row>
    <row r="202" spans="1:22" x14ac:dyDescent="0.25">
      <c r="A202" t="s">
        <v>820</v>
      </c>
      <c r="B202" s="1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  <c r="O202" t="str">
        <f>IF(OR($N202&lt;EDA_Summary!$B$14,$N202&gt;EDA_Summary!$B$15), "Outlier", "Normal")</f>
        <v>Normal</v>
      </c>
      <c r="S202">
        <v>5</v>
      </c>
      <c r="T202">
        <v>433.26</v>
      </c>
      <c r="U202">
        <v>9</v>
      </c>
      <c r="V202">
        <v>2166.3000000000002</v>
      </c>
    </row>
    <row r="203" spans="1:22" x14ac:dyDescent="0.25">
      <c r="A203" t="s">
        <v>823</v>
      </c>
      <c r="B203" s="1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  <c r="O203" t="str">
        <f>IF(OR($N203&lt;EDA_Summary!$B$14,$N203&gt;EDA_Summary!$B$15), "Outlier", "Normal")</f>
        <v>Normal</v>
      </c>
      <c r="S203">
        <v>2</v>
      </c>
      <c r="T203">
        <v>674.9</v>
      </c>
      <c r="U203">
        <v>4</v>
      </c>
      <c r="V203">
        <v>1349.8</v>
      </c>
    </row>
    <row r="204" spans="1:22" x14ac:dyDescent="0.25">
      <c r="A204" t="s">
        <v>826</v>
      </c>
      <c r="B204" s="1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  <c r="O204" t="str">
        <f>IF(OR($N204&lt;EDA_Summary!$B$14,$N204&gt;EDA_Summary!$B$15), "Outlier", "Normal")</f>
        <v>Normal</v>
      </c>
      <c r="S204">
        <v>3</v>
      </c>
      <c r="T204">
        <v>253.98</v>
      </c>
      <c r="U204">
        <v>3</v>
      </c>
      <c r="V204">
        <v>761.93999999999994</v>
      </c>
    </row>
    <row r="205" spans="1:22" x14ac:dyDescent="0.25">
      <c r="A205" t="s">
        <v>829</v>
      </c>
      <c r="B205" s="1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  <c r="O205" t="str">
        <f>IF(OR($N205&lt;EDA_Summary!$B$14,$N205&gt;EDA_Summary!$B$15), "Outlier", "Normal")</f>
        <v>Normal</v>
      </c>
      <c r="S205">
        <v>3</v>
      </c>
      <c r="T205">
        <v>356.84</v>
      </c>
      <c r="U205">
        <v>5</v>
      </c>
      <c r="V205">
        <v>1070.52</v>
      </c>
    </row>
    <row r="206" spans="1:22" x14ac:dyDescent="0.25">
      <c r="A206" t="s">
        <v>833</v>
      </c>
      <c r="B206" s="1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  <c r="O206" t="str">
        <f>IF(OR($N206&lt;EDA_Summary!$B$14,$N206&gt;EDA_Summary!$B$15), "Outlier", "Normal")</f>
        <v>Normal</v>
      </c>
      <c r="S206">
        <v>4</v>
      </c>
      <c r="T206">
        <v>413.71</v>
      </c>
      <c r="U206">
        <v>9</v>
      </c>
      <c r="V206">
        <v>1654.84</v>
      </c>
    </row>
    <row r="207" spans="1:22" x14ac:dyDescent="0.25">
      <c r="A207" t="s">
        <v>836</v>
      </c>
      <c r="B207" s="1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  <c r="O207" t="str">
        <f>IF(OR($N207&lt;EDA_Summary!$B$14,$N207&gt;EDA_Summary!$B$15), "Outlier", "Normal")</f>
        <v>Normal</v>
      </c>
      <c r="S207">
        <v>3</v>
      </c>
      <c r="T207">
        <v>147.38999999999999</v>
      </c>
      <c r="U207">
        <v>3</v>
      </c>
      <c r="V207">
        <v>442.17</v>
      </c>
    </row>
    <row r="208" spans="1:22" x14ac:dyDescent="0.25">
      <c r="A208" t="s">
        <v>840</v>
      </c>
      <c r="B208" s="1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  <c r="O208" t="str">
        <f>IF(OR($N208&lt;EDA_Summary!$B$14,$N208&gt;EDA_Summary!$B$15), "Outlier", "Normal")</f>
        <v>Normal</v>
      </c>
      <c r="S208">
        <v>4</v>
      </c>
      <c r="T208">
        <v>229.1</v>
      </c>
      <c r="U208">
        <v>8</v>
      </c>
      <c r="V208">
        <v>916.4</v>
      </c>
    </row>
    <row r="209" spans="1:22" x14ac:dyDescent="0.25">
      <c r="A209" t="s">
        <v>844</v>
      </c>
      <c r="B209" s="1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  <c r="O209" t="str">
        <f>IF(OR($N209&lt;EDA_Summary!$B$14,$N209&gt;EDA_Summary!$B$15), "Outlier", "Normal")</f>
        <v>Normal</v>
      </c>
      <c r="S209">
        <v>1</v>
      </c>
      <c r="T209">
        <v>121.96</v>
      </c>
      <c r="U209">
        <v>3</v>
      </c>
      <c r="V209">
        <v>121.96</v>
      </c>
    </row>
    <row r="210" spans="1:22" x14ac:dyDescent="0.25">
      <c r="A210" t="s">
        <v>848</v>
      </c>
      <c r="B210" s="1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  <c r="O210" t="str">
        <f>IF(OR($N210&lt;EDA_Summary!$B$14,$N210&gt;EDA_Summary!$B$15), "Outlier", "Normal")</f>
        <v>Normal</v>
      </c>
      <c r="S210">
        <v>2</v>
      </c>
      <c r="T210">
        <v>408.32</v>
      </c>
      <c r="U210">
        <v>3</v>
      </c>
      <c r="V210">
        <v>816.64</v>
      </c>
    </row>
    <row r="211" spans="1:22" x14ac:dyDescent="0.25">
      <c r="A211" t="s">
        <v>851</v>
      </c>
      <c r="B211" s="1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  <c r="O211" t="str">
        <f>IF(OR($N211&lt;EDA_Summary!$B$14,$N211&gt;EDA_Summary!$B$15), "Outlier", "Normal")</f>
        <v>Normal</v>
      </c>
      <c r="S211">
        <v>5</v>
      </c>
      <c r="T211">
        <v>187.97</v>
      </c>
      <c r="U211">
        <v>9</v>
      </c>
      <c r="V211">
        <v>939.85</v>
      </c>
    </row>
    <row r="212" spans="1:22" x14ac:dyDescent="0.25">
      <c r="A212" t="s">
        <v>854</v>
      </c>
      <c r="B212" s="1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  <c r="O212" t="str">
        <f>IF(OR($N212&lt;EDA_Summary!$B$14,$N212&gt;EDA_Summary!$B$15), "Outlier", "Normal")</f>
        <v>Normal</v>
      </c>
      <c r="S212">
        <v>3</v>
      </c>
      <c r="T212">
        <v>358.48</v>
      </c>
      <c r="U212">
        <v>7</v>
      </c>
      <c r="V212">
        <v>1075.44</v>
      </c>
    </row>
    <row r="213" spans="1:22" x14ac:dyDescent="0.25">
      <c r="A213" t="s">
        <v>857</v>
      </c>
      <c r="B213" s="1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  <c r="O213" t="str">
        <f>IF(OR($N213&lt;EDA_Summary!$B$14,$N213&gt;EDA_Summary!$B$15), "Outlier", "Normal")</f>
        <v>Normal</v>
      </c>
      <c r="S213">
        <v>3</v>
      </c>
      <c r="T213">
        <v>193.58</v>
      </c>
      <c r="U213">
        <v>7</v>
      </c>
      <c r="V213">
        <v>580.74</v>
      </c>
    </row>
    <row r="214" spans="1:22" x14ac:dyDescent="0.25">
      <c r="A214" t="s">
        <v>861</v>
      </c>
      <c r="B214" s="1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  <c r="O214" t="str">
        <f>IF(OR($N214&lt;EDA_Summary!$B$14,$N214&gt;EDA_Summary!$B$15), "Outlier", "Normal")</f>
        <v>Normal</v>
      </c>
      <c r="S214">
        <v>1</v>
      </c>
      <c r="T214">
        <v>265.38</v>
      </c>
      <c r="U214">
        <v>6</v>
      </c>
      <c r="V214">
        <v>265.38</v>
      </c>
    </row>
    <row r="215" spans="1:22" x14ac:dyDescent="0.25">
      <c r="A215" t="s">
        <v>865</v>
      </c>
      <c r="B215" s="1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  <c r="O215" t="str">
        <f>IF(OR($N215&lt;EDA_Summary!$B$14,$N215&gt;EDA_Summary!$B$15), "Outlier", "Normal")</f>
        <v>Normal</v>
      </c>
      <c r="S215">
        <v>1</v>
      </c>
      <c r="T215">
        <v>634.4</v>
      </c>
      <c r="U215">
        <v>6</v>
      </c>
      <c r="V215">
        <v>634.4</v>
      </c>
    </row>
    <row r="216" spans="1:22" x14ac:dyDescent="0.25">
      <c r="A216" t="s">
        <v>869</v>
      </c>
      <c r="B216" s="1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  <c r="O216" t="str">
        <f>IF(OR($N216&lt;EDA_Summary!$B$14,$N216&gt;EDA_Summary!$B$15), "Outlier", "Normal")</f>
        <v>Normal</v>
      </c>
      <c r="S216">
        <v>4</v>
      </c>
      <c r="T216">
        <v>305.72000000000003</v>
      </c>
      <c r="U216">
        <v>5</v>
      </c>
      <c r="V216">
        <v>1222.8800000000001</v>
      </c>
    </row>
    <row r="217" spans="1:22" x14ac:dyDescent="0.25">
      <c r="A217" t="s">
        <v>872</v>
      </c>
      <c r="B217" s="1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  <c r="O217" t="str">
        <f>IF(OR($N217&lt;EDA_Summary!$B$14,$N217&gt;EDA_Summary!$B$15), "Outlier", "Normal")</f>
        <v>Normal</v>
      </c>
      <c r="S217">
        <v>1</v>
      </c>
      <c r="T217">
        <v>303.60000000000002</v>
      </c>
      <c r="U217">
        <v>5</v>
      </c>
      <c r="V217">
        <v>303.60000000000002</v>
      </c>
    </row>
    <row r="218" spans="1:22" x14ac:dyDescent="0.25">
      <c r="A218" t="s">
        <v>876</v>
      </c>
      <c r="B218" s="1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  <c r="O218" t="str">
        <f>IF(OR($N218&lt;EDA_Summary!$B$14,$N218&gt;EDA_Summary!$B$15), "Outlier", "Normal")</f>
        <v>Normal</v>
      </c>
      <c r="S218">
        <v>4</v>
      </c>
      <c r="T218">
        <v>496</v>
      </c>
      <c r="U218">
        <v>8</v>
      </c>
      <c r="V218">
        <v>1984</v>
      </c>
    </row>
    <row r="219" spans="1:22" x14ac:dyDescent="0.25">
      <c r="A219" t="s">
        <v>879</v>
      </c>
      <c r="B219" s="1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  <c r="O219" t="str">
        <f>IF(OR($N219&lt;EDA_Summary!$B$14,$N219&gt;EDA_Summary!$B$15), "Outlier", "Normal")</f>
        <v>Normal</v>
      </c>
      <c r="S219">
        <v>4</v>
      </c>
      <c r="T219">
        <v>321.51</v>
      </c>
      <c r="U219">
        <v>9</v>
      </c>
      <c r="V219">
        <v>1286.04</v>
      </c>
    </row>
    <row r="220" spans="1:22" x14ac:dyDescent="0.25">
      <c r="A220" t="s">
        <v>883</v>
      </c>
      <c r="B220" s="1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  <c r="O220" t="str">
        <f>IF(OR($N220&lt;EDA_Summary!$B$14,$N220&gt;EDA_Summary!$B$15), "Outlier", "Normal")</f>
        <v>Normal</v>
      </c>
      <c r="S220">
        <v>3</v>
      </c>
      <c r="T220">
        <v>112.46</v>
      </c>
      <c r="U220">
        <v>6</v>
      </c>
      <c r="V220">
        <v>337.38</v>
      </c>
    </row>
    <row r="221" spans="1:22" x14ac:dyDescent="0.25">
      <c r="A221" t="s">
        <v>887</v>
      </c>
      <c r="B221" s="1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  <c r="O221" t="str">
        <f>IF(OR($N221&lt;EDA_Summary!$B$14,$N221&gt;EDA_Summary!$B$15), "Outlier", "Normal")</f>
        <v>Normal</v>
      </c>
      <c r="S221">
        <v>5</v>
      </c>
      <c r="T221">
        <v>61.97</v>
      </c>
      <c r="U221">
        <v>6</v>
      </c>
      <c r="V221">
        <v>309.85000000000002</v>
      </c>
    </row>
    <row r="222" spans="1:22" x14ac:dyDescent="0.25">
      <c r="A222" t="s">
        <v>891</v>
      </c>
      <c r="B222" s="1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  <c r="O222" t="str">
        <f>IF(OR($N222&lt;EDA_Summary!$B$14,$N222&gt;EDA_Summary!$B$15), "Outlier", "Normal")</f>
        <v>Normal</v>
      </c>
      <c r="S222">
        <v>2</v>
      </c>
      <c r="T222">
        <v>373.17</v>
      </c>
      <c r="U222">
        <v>6</v>
      </c>
      <c r="V222">
        <v>746.34</v>
      </c>
    </row>
    <row r="223" spans="1:22" x14ac:dyDescent="0.25">
      <c r="A223" t="s">
        <v>895</v>
      </c>
      <c r="B223" s="1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  <c r="O223" t="str">
        <f>IF(OR($N223&lt;EDA_Summary!$B$14,$N223&gt;EDA_Summary!$B$15), "Outlier", "Normal")</f>
        <v>Normal</v>
      </c>
      <c r="S223">
        <v>5</v>
      </c>
      <c r="T223">
        <v>639.37</v>
      </c>
      <c r="U223">
        <v>6</v>
      </c>
      <c r="V223">
        <v>3196.85</v>
      </c>
    </row>
    <row r="224" spans="1:22" x14ac:dyDescent="0.25">
      <c r="A224" t="s">
        <v>898</v>
      </c>
      <c r="B224" s="1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  <c r="O224" t="str">
        <f>IF(OR($N224&lt;EDA_Summary!$B$14,$N224&gt;EDA_Summary!$B$15), "Outlier", "Normal")</f>
        <v>Normal</v>
      </c>
      <c r="S224">
        <v>4</v>
      </c>
      <c r="T224">
        <v>693.36</v>
      </c>
      <c r="U224">
        <v>8</v>
      </c>
      <c r="V224">
        <v>2773.44</v>
      </c>
    </row>
    <row r="225" spans="1:22" x14ac:dyDescent="0.25">
      <c r="A225" t="s">
        <v>902</v>
      </c>
      <c r="B225" s="1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  <c r="O225" t="str">
        <f>IF(OR($N225&lt;EDA_Summary!$B$14,$N225&gt;EDA_Summary!$B$15), "Outlier", "Normal")</f>
        <v>Normal</v>
      </c>
      <c r="S225">
        <v>4</v>
      </c>
      <c r="T225">
        <v>692.91</v>
      </c>
      <c r="U225">
        <v>9</v>
      </c>
      <c r="V225">
        <v>2771.64</v>
      </c>
    </row>
    <row r="226" spans="1:22" x14ac:dyDescent="0.25">
      <c r="A226" t="s">
        <v>905</v>
      </c>
      <c r="B226" s="1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  <c r="O226" t="str">
        <f>IF(OR($N226&lt;EDA_Summary!$B$14,$N226&gt;EDA_Summary!$B$15), "Outlier", "Normal")</f>
        <v>Normal</v>
      </c>
      <c r="S226">
        <v>4</v>
      </c>
      <c r="T226">
        <v>91.46</v>
      </c>
      <c r="U226">
        <v>9</v>
      </c>
      <c r="V226">
        <v>365.84</v>
      </c>
    </row>
    <row r="227" spans="1:22" x14ac:dyDescent="0.25">
      <c r="A227" t="s">
        <v>909</v>
      </c>
      <c r="B227" s="1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  <c r="O227" t="str">
        <f>IF(OR($N227&lt;EDA_Summary!$B$14,$N227&gt;EDA_Summary!$B$15), "Outlier", "Normal")</f>
        <v>Normal</v>
      </c>
      <c r="S227">
        <v>3</v>
      </c>
      <c r="T227">
        <v>273.95999999999998</v>
      </c>
      <c r="U227">
        <v>8</v>
      </c>
      <c r="V227">
        <v>821.87999999999988</v>
      </c>
    </row>
    <row r="228" spans="1:22" x14ac:dyDescent="0.25">
      <c r="A228" t="s">
        <v>913</v>
      </c>
      <c r="B228" s="1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  <c r="O228" t="str">
        <f>IF(OR($N228&lt;EDA_Summary!$B$14,$N228&gt;EDA_Summary!$B$15), "Outlier", "Normal")</f>
        <v>Normal</v>
      </c>
      <c r="S228">
        <v>3</v>
      </c>
      <c r="T228">
        <v>588.04999999999995</v>
      </c>
      <c r="U228">
        <v>8</v>
      </c>
      <c r="V228">
        <v>1764.15</v>
      </c>
    </row>
    <row r="229" spans="1:22" x14ac:dyDescent="0.25">
      <c r="A229" t="s">
        <v>917</v>
      </c>
      <c r="B229" s="1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  <c r="O229" t="str">
        <f>IF(OR($N229&lt;EDA_Summary!$B$14,$N229&gt;EDA_Summary!$B$15), "Outlier", "Normal")</f>
        <v>Normal</v>
      </c>
      <c r="S229">
        <v>2</v>
      </c>
      <c r="T229">
        <v>365.17</v>
      </c>
      <c r="U229">
        <v>4</v>
      </c>
      <c r="V229">
        <v>730.34</v>
      </c>
    </row>
    <row r="230" spans="1:22" x14ac:dyDescent="0.25">
      <c r="A230" t="s">
        <v>920</v>
      </c>
      <c r="B230" s="1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  <c r="O230" t="str">
        <f>IF(OR($N230&lt;EDA_Summary!$B$14,$N230&gt;EDA_Summary!$B$15), "Outlier", "Normal")</f>
        <v>Normal</v>
      </c>
      <c r="S230">
        <v>4</v>
      </c>
      <c r="T230">
        <v>385.92</v>
      </c>
      <c r="U230">
        <v>8</v>
      </c>
      <c r="V230">
        <v>1543.68</v>
      </c>
    </row>
    <row r="231" spans="1:22" x14ac:dyDescent="0.25">
      <c r="A231" t="s">
        <v>924</v>
      </c>
      <c r="B231" s="1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  <c r="O231" t="str">
        <f>IF(OR($N231&lt;EDA_Summary!$B$14,$N231&gt;EDA_Summary!$B$15), "Outlier", "Normal")</f>
        <v>Normal</v>
      </c>
      <c r="S231">
        <v>1</v>
      </c>
      <c r="T231">
        <v>562.61</v>
      </c>
      <c r="U231">
        <v>3</v>
      </c>
      <c r="V231">
        <v>562.61</v>
      </c>
    </row>
    <row r="232" spans="1:22" x14ac:dyDescent="0.25">
      <c r="A232" t="s">
        <v>928</v>
      </c>
      <c r="B232" s="1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  <c r="O232" t="str">
        <f>IF(OR($N232&lt;EDA_Summary!$B$14,$N232&gt;EDA_Summary!$B$15), "Outlier", "Normal")</f>
        <v>Normal</v>
      </c>
      <c r="S232">
        <v>4</v>
      </c>
      <c r="T232">
        <v>61.91</v>
      </c>
      <c r="U232">
        <v>6</v>
      </c>
      <c r="V232">
        <v>247.64</v>
      </c>
    </row>
    <row r="233" spans="1:22" x14ac:dyDescent="0.25">
      <c r="A233" t="s">
        <v>932</v>
      </c>
      <c r="B233" s="1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  <c r="O233" t="str">
        <f>IF(OR($N233&lt;EDA_Summary!$B$14,$N233&gt;EDA_Summary!$B$15), "Outlier", "Normal")</f>
        <v>Normal</v>
      </c>
      <c r="S233">
        <v>4</v>
      </c>
      <c r="T233">
        <v>41.9</v>
      </c>
      <c r="U233">
        <v>9</v>
      </c>
      <c r="V233">
        <v>167.6</v>
      </c>
    </row>
    <row r="234" spans="1:22" x14ac:dyDescent="0.25">
      <c r="A234" t="s">
        <v>936</v>
      </c>
      <c r="B234" s="1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  <c r="O234" t="str">
        <f>IF(OR($N234&lt;EDA_Summary!$B$14,$N234&gt;EDA_Summary!$B$15), "Outlier", "Normal")</f>
        <v>Normal</v>
      </c>
      <c r="S234">
        <v>4</v>
      </c>
      <c r="T234">
        <v>444.44</v>
      </c>
      <c r="U234">
        <v>8</v>
      </c>
      <c r="V234">
        <v>1777.76</v>
      </c>
    </row>
    <row r="235" spans="1:22" x14ac:dyDescent="0.25">
      <c r="A235" t="s">
        <v>940</v>
      </c>
      <c r="B235" s="1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  <c r="O235" t="str">
        <f>IF(OR($N235&lt;EDA_Summary!$B$14,$N235&gt;EDA_Summary!$B$15), "Outlier", "Normal")</f>
        <v>Normal</v>
      </c>
      <c r="S235">
        <v>3</v>
      </c>
      <c r="T235">
        <v>311.33</v>
      </c>
      <c r="U235">
        <v>3</v>
      </c>
      <c r="V235">
        <v>933.99</v>
      </c>
    </row>
    <row r="236" spans="1:22" x14ac:dyDescent="0.25">
      <c r="A236" t="s">
        <v>943</v>
      </c>
      <c r="B236" s="1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  <c r="O236" t="str">
        <f>IF(OR($N236&lt;EDA_Summary!$B$14,$N236&gt;EDA_Summary!$B$15), "Outlier", "Normal")</f>
        <v>Normal</v>
      </c>
      <c r="S236">
        <v>4</v>
      </c>
      <c r="T236">
        <v>236.41</v>
      </c>
      <c r="U236">
        <v>7</v>
      </c>
      <c r="V236">
        <v>945.64</v>
      </c>
    </row>
    <row r="237" spans="1:22" x14ac:dyDescent="0.25">
      <c r="A237" t="s">
        <v>947</v>
      </c>
      <c r="B237" s="1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  <c r="O237" t="str">
        <f>IF(OR($N237&lt;EDA_Summary!$B$14,$N237&gt;EDA_Summary!$B$15), "Outlier", "Normal")</f>
        <v>Normal</v>
      </c>
      <c r="S237">
        <v>1</v>
      </c>
      <c r="T237">
        <v>65.45</v>
      </c>
      <c r="U237">
        <v>2</v>
      </c>
      <c r="V237">
        <v>65.45</v>
      </c>
    </row>
    <row r="238" spans="1:22" x14ac:dyDescent="0.25">
      <c r="A238" t="s">
        <v>951</v>
      </c>
      <c r="B238" s="1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  <c r="O238" t="str">
        <f>IF(OR($N238&lt;EDA_Summary!$B$14,$N238&gt;EDA_Summary!$B$15), "Outlier", "Normal")</f>
        <v>Normal</v>
      </c>
      <c r="S238">
        <v>1</v>
      </c>
      <c r="T238">
        <v>318.81</v>
      </c>
      <c r="U238">
        <v>3</v>
      </c>
      <c r="V238">
        <v>318.81</v>
      </c>
    </row>
    <row r="239" spans="1:22" x14ac:dyDescent="0.25">
      <c r="A239" t="s">
        <v>955</v>
      </c>
      <c r="B239" s="1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  <c r="O239" t="str">
        <f>IF(OR($N239&lt;EDA_Summary!$B$14,$N239&gt;EDA_Summary!$B$15), "Outlier", "Normal")</f>
        <v>Normal</v>
      </c>
      <c r="S239">
        <v>3</v>
      </c>
      <c r="T239">
        <v>583.72</v>
      </c>
      <c r="U239">
        <v>5</v>
      </c>
      <c r="V239">
        <v>1751.16</v>
      </c>
    </row>
    <row r="240" spans="1:22" x14ac:dyDescent="0.25">
      <c r="A240" t="s">
        <v>959</v>
      </c>
      <c r="B240" s="1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  <c r="O240" t="str">
        <f>IF(OR($N240&lt;EDA_Summary!$B$14,$N240&gt;EDA_Summary!$B$15), "Outlier", "Normal")</f>
        <v>Normal</v>
      </c>
      <c r="S240">
        <v>4</v>
      </c>
      <c r="T240">
        <v>384.32</v>
      </c>
      <c r="U240">
        <v>6</v>
      </c>
      <c r="V240">
        <v>1537.28</v>
      </c>
    </row>
    <row r="241" spans="1:22" x14ac:dyDescent="0.25">
      <c r="A241" t="s">
        <v>963</v>
      </c>
      <c r="B241" s="1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  <c r="O241" t="str">
        <f>IF(OR($N241&lt;EDA_Summary!$B$14,$N241&gt;EDA_Summary!$B$15), "Outlier", "Normal")</f>
        <v>Normal</v>
      </c>
      <c r="S241">
        <v>3</v>
      </c>
      <c r="T241">
        <v>538.74</v>
      </c>
      <c r="U241">
        <v>6</v>
      </c>
      <c r="V241">
        <v>1616.22</v>
      </c>
    </row>
    <row r="242" spans="1:22" x14ac:dyDescent="0.25">
      <c r="A242" t="s">
        <v>967</v>
      </c>
      <c r="B242" s="1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  <c r="O242" t="str">
        <f>IF(OR($N242&lt;EDA_Summary!$B$14,$N242&gt;EDA_Summary!$B$15), "Outlier", "Normal")</f>
        <v>Normal</v>
      </c>
      <c r="S242">
        <v>1</v>
      </c>
      <c r="T242">
        <v>17.239999999999998</v>
      </c>
      <c r="U242">
        <v>2</v>
      </c>
      <c r="V242">
        <v>17.239999999999998</v>
      </c>
    </row>
    <row r="243" spans="1:22" x14ac:dyDescent="0.25">
      <c r="A243" t="s">
        <v>971</v>
      </c>
      <c r="B243" s="1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  <c r="O243" t="str">
        <f>IF(OR($N243&lt;EDA_Summary!$B$14,$N243&gt;EDA_Summary!$B$15), "Outlier", "Normal")</f>
        <v>Normal</v>
      </c>
      <c r="S243">
        <v>5</v>
      </c>
      <c r="T243">
        <v>615.66999999999996</v>
      </c>
      <c r="U243">
        <v>6</v>
      </c>
      <c r="V243">
        <v>3078.35</v>
      </c>
    </row>
    <row r="244" spans="1:22" x14ac:dyDescent="0.25">
      <c r="A244" t="s">
        <v>975</v>
      </c>
      <c r="B244" s="1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  <c r="O244" t="str">
        <f>IF(OR($N244&lt;EDA_Summary!$B$14,$N244&gt;EDA_Summary!$B$15), "Outlier", "Normal")</f>
        <v>Normal</v>
      </c>
      <c r="S244">
        <v>2</v>
      </c>
      <c r="T244">
        <v>219.1</v>
      </c>
      <c r="U244">
        <v>4</v>
      </c>
      <c r="V244">
        <v>438.2</v>
      </c>
    </row>
    <row r="245" spans="1:22" x14ac:dyDescent="0.25">
      <c r="A245" t="s">
        <v>979</v>
      </c>
      <c r="B245" s="1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  <c r="O245" t="str">
        <f>IF(OR($N245&lt;EDA_Summary!$B$14,$N245&gt;EDA_Summary!$B$15), "Outlier", "Normal")</f>
        <v>Normal</v>
      </c>
      <c r="S245">
        <v>2</v>
      </c>
      <c r="T245">
        <v>144.66</v>
      </c>
      <c r="U245">
        <v>7</v>
      </c>
      <c r="V245">
        <v>289.32</v>
      </c>
    </row>
    <row r="246" spans="1:22" x14ac:dyDescent="0.25">
      <c r="A246" t="s">
        <v>983</v>
      </c>
      <c r="B246" s="1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  <c r="O246" t="str">
        <f>IF(OR($N246&lt;EDA_Summary!$B$14,$N246&gt;EDA_Summary!$B$15), "Outlier", "Normal")</f>
        <v>Normal</v>
      </c>
      <c r="S246">
        <v>2</v>
      </c>
      <c r="T246">
        <v>317.77</v>
      </c>
      <c r="U246">
        <v>4</v>
      </c>
      <c r="V246">
        <v>635.54</v>
      </c>
    </row>
    <row r="247" spans="1:22" x14ac:dyDescent="0.25">
      <c r="A247" t="s">
        <v>987</v>
      </c>
      <c r="B247" s="1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  <c r="O247" t="str">
        <f>IF(OR($N247&lt;EDA_Summary!$B$14,$N247&gt;EDA_Summary!$B$15), "Outlier", "Normal")</f>
        <v>Normal</v>
      </c>
      <c r="S247">
        <v>1</v>
      </c>
      <c r="T247">
        <v>223.3</v>
      </c>
      <c r="U247">
        <v>1</v>
      </c>
      <c r="V247">
        <v>223.3</v>
      </c>
    </row>
    <row r="248" spans="1:22" x14ac:dyDescent="0.25">
      <c r="A248" t="s">
        <v>991</v>
      </c>
      <c r="B248" s="1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  <c r="O248" t="str">
        <f>IF(OR($N248&lt;EDA_Summary!$B$14,$N248&gt;EDA_Summary!$B$15), "Outlier", "Normal")</f>
        <v>Normal</v>
      </c>
      <c r="S248">
        <v>2</v>
      </c>
      <c r="T248">
        <v>342.11</v>
      </c>
      <c r="U248">
        <v>2</v>
      </c>
      <c r="V248">
        <v>684.22</v>
      </c>
    </row>
    <row r="249" spans="1:22" x14ac:dyDescent="0.25">
      <c r="A249" t="s">
        <v>995</v>
      </c>
      <c r="B249" s="1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  <c r="O249" t="str">
        <f>IF(OR($N249&lt;EDA_Summary!$B$14,$N249&gt;EDA_Summary!$B$15), "Outlier", "Normal")</f>
        <v>Normal</v>
      </c>
      <c r="S249">
        <v>2</v>
      </c>
      <c r="T249">
        <v>220.9</v>
      </c>
      <c r="U249">
        <v>4</v>
      </c>
      <c r="V249">
        <v>441.8</v>
      </c>
    </row>
    <row r="250" spans="1:22" x14ac:dyDescent="0.25">
      <c r="A250" t="s">
        <v>999</v>
      </c>
      <c r="B250" s="1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  <c r="O250" t="str">
        <f>IF(OR($N250&lt;EDA_Summary!$B$14,$N250&gt;EDA_Summary!$B$15), "Outlier", "Normal")</f>
        <v>Normal</v>
      </c>
      <c r="S250">
        <v>1</v>
      </c>
      <c r="T250">
        <v>670.54</v>
      </c>
      <c r="U250">
        <v>6</v>
      </c>
      <c r="V250">
        <v>670.54</v>
      </c>
    </row>
    <row r="251" spans="1:22" x14ac:dyDescent="0.25">
      <c r="A251" t="s">
        <v>1003</v>
      </c>
      <c r="B251" s="1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  <c r="O251" t="str">
        <f>IF(OR($N251&lt;EDA_Summary!$B$14,$N251&gt;EDA_Summary!$B$15), "Outlier", "Normal")</f>
        <v>Normal</v>
      </c>
      <c r="S251">
        <v>1</v>
      </c>
      <c r="T251">
        <v>546.19000000000005</v>
      </c>
      <c r="U251">
        <v>5</v>
      </c>
      <c r="V251">
        <v>546.19000000000005</v>
      </c>
    </row>
    <row r="252" spans="1:22" x14ac:dyDescent="0.25">
      <c r="A252" t="s">
        <v>1007</v>
      </c>
      <c r="B252" s="1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  <c r="O252" t="str">
        <f>IF(OR($N252&lt;EDA_Summary!$B$14,$N252&gt;EDA_Summary!$B$15), "Outlier", "Normal")</f>
        <v>Normal</v>
      </c>
      <c r="S252">
        <v>3</v>
      </c>
      <c r="T252">
        <v>42.95</v>
      </c>
      <c r="U252">
        <v>8</v>
      </c>
      <c r="V252">
        <v>128.85</v>
      </c>
    </row>
    <row r="253" spans="1:22" x14ac:dyDescent="0.25">
      <c r="A253" t="s">
        <v>1010</v>
      </c>
      <c r="B253" s="1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  <c r="O253" t="str">
        <f>IF(OR($N253&lt;EDA_Summary!$B$14,$N253&gt;EDA_Summary!$B$15), "Outlier", "Normal")</f>
        <v>Normal</v>
      </c>
      <c r="S253">
        <v>4</v>
      </c>
      <c r="T253">
        <v>14.69</v>
      </c>
      <c r="U253">
        <v>9</v>
      </c>
      <c r="V253">
        <v>58.76</v>
      </c>
    </row>
    <row r="254" spans="1:22" x14ac:dyDescent="0.25">
      <c r="A254" t="s">
        <v>1014</v>
      </c>
      <c r="B254" s="1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  <c r="O254" t="str">
        <f>IF(OR($N254&lt;EDA_Summary!$B$14,$N254&gt;EDA_Summary!$B$15), "Outlier", "Normal")</f>
        <v>Normal</v>
      </c>
      <c r="S254">
        <v>4</v>
      </c>
      <c r="T254">
        <v>668.36</v>
      </c>
      <c r="U254">
        <v>5</v>
      </c>
      <c r="V254">
        <v>2673.44</v>
      </c>
    </row>
    <row r="255" spans="1:22" x14ac:dyDescent="0.25">
      <c r="A255" t="s">
        <v>1018</v>
      </c>
      <c r="B255" s="1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  <c r="O255" t="str">
        <f>IF(OR($N255&lt;EDA_Summary!$B$14,$N255&gt;EDA_Summary!$B$15), "Outlier", "Normal")</f>
        <v>Normal</v>
      </c>
      <c r="S255">
        <v>4</v>
      </c>
      <c r="T255">
        <v>413.74</v>
      </c>
      <c r="U255">
        <v>7</v>
      </c>
      <c r="V255">
        <v>1654.96</v>
      </c>
    </row>
    <row r="256" spans="1:22" x14ac:dyDescent="0.25">
      <c r="A256" t="s">
        <v>1021</v>
      </c>
      <c r="B256" s="1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  <c r="O256" t="str">
        <f>IF(OR($N256&lt;EDA_Summary!$B$14,$N256&gt;EDA_Summary!$B$15), "Outlier", "Normal")</f>
        <v>Normal</v>
      </c>
      <c r="S256">
        <v>3</v>
      </c>
      <c r="T256">
        <v>263.19</v>
      </c>
      <c r="U256">
        <v>5</v>
      </c>
      <c r="V256">
        <v>789.56999999999994</v>
      </c>
    </row>
    <row r="257" spans="1:22" x14ac:dyDescent="0.25">
      <c r="A257" t="s">
        <v>1024</v>
      </c>
      <c r="B257" s="1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  <c r="O257" t="str">
        <f>IF(OR($N257&lt;EDA_Summary!$B$14,$N257&gt;EDA_Summary!$B$15), "Outlier", "Normal")</f>
        <v>Normal</v>
      </c>
      <c r="S257">
        <v>1</v>
      </c>
      <c r="T257">
        <v>263.95999999999998</v>
      </c>
      <c r="U257">
        <v>2</v>
      </c>
      <c r="V257">
        <v>263.95999999999998</v>
      </c>
    </row>
    <row r="258" spans="1:22" x14ac:dyDescent="0.25">
      <c r="A258" t="s">
        <v>1027</v>
      </c>
      <c r="B258" s="1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  <c r="O258" t="str">
        <f>IF(OR($N258&lt;EDA_Summary!$B$14,$N258&gt;EDA_Summary!$B$15), "Outlier", "Normal")</f>
        <v>Normal</v>
      </c>
      <c r="S258">
        <v>5</v>
      </c>
      <c r="T258">
        <v>75.81</v>
      </c>
      <c r="U258">
        <v>10</v>
      </c>
      <c r="V258">
        <v>379.05</v>
      </c>
    </row>
    <row r="259" spans="1:22" x14ac:dyDescent="0.25">
      <c r="A259" t="s">
        <v>1031</v>
      </c>
      <c r="B259" s="1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  <c r="O259" t="str">
        <f>IF(OR($N259&lt;EDA_Summary!$B$14,$N259&gt;EDA_Summary!$B$15), "Outlier", "Normal")</f>
        <v>Normal</v>
      </c>
      <c r="S259">
        <v>1</v>
      </c>
      <c r="T259">
        <v>406.22</v>
      </c>
      <c r="U259">
        <v>5</v>
      </c>
      <c r="V259">
        <v>406.22</v>
      </c>
    </row>
    <row r="260" spans="1:22" x14ac:dyDescent="0.25">
      <c r="A260" t="s">
        <v>1035</v>
      </c>
      <c r="B260" s="1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  <c r="O260" t="str">
        <f>IF(OR($N260&lt;EDA_Summary!$B$14,$N260&gt;EDA_Summary!$B$15), "Outlier", "Normal")</f>
        <v>Normal</v>
      </c>
      <c r="S260">
        <v>2</v>
      </c>
      <c r="T260">
        <v>103.41</v>
      </c>
      <c r="U260">
        <v>2</v>
      </c>
      <c r="V260">
        <v>206.82</v>
      </c>
    </row>
    <row r="261" spans="1:22" x14ac:dyDescent="0.25">
      <c r="A261" t="s">
        <v>1039</v>
      </c>
      <c r="B261" s="1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  <c r="O261" t="str">
        <f>IF(OR($N261&lt;EDA_Summary!$B$14,$N261&gt;EDA_Summary!$B$15), "Outlier", "Normal")</f>
        <v>Normal</v>
      </c>
      <c r="S261">
        <v>4</v>
      </c>
      <c r="T261">
        <v>435.12</v>
      </c>
      <c r="U261">
        <v>9</v>
      </c>
      <c r="V261">
        <v>1740.48</v>
      </c>
    </row>
    <row r="262" spans="1:22" x14ac:dyDescent="0.25">
      <c r="A262" t="s">
        <v>1042</v>
      </c>
      <c r="B262" s="1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  <c r="O262" t="str">
        <f>IF(OR($N262&lt;EDA_Summary!$B$14,$N262&gt;EDA_Summary!$B$15), "Outlier", "Normal")</f>
        <v>Normal</v>
      </c>
      <c r="S262">
        <v>2</v>
      </c>
      <c r="T262">
        <v>407.79</v>
      </c>
      <c r="U262">
        <v>3</v>
      </c>
      <c r="V262">
        <v>815.58</v>
      </c>
    </row>
    <row r="263" spans="1:22" x14ac:dyDescent="0.25">
      <c r="A263" t="s">
        <v>1046</v>
      </c>
      <c r="B263" s="1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  <c r="O263" t="str">
        <f>IF(OR($N263&lt;EDA_Summary!$B$14,$N263&gt;EDA_Summary!$B$15), "Outlier", "Normal")</f>
        <v>Normal</v>
      </c>
      <c r="S263">
        <v>5</v>
      </c>
      <c r="T263">
        <v>173.65</v>
      </c>
      <c r="U263">
        <v>9</v>
      </c>
      <c r="V263">
        <v>868.25</v>
      </c>
    </row>
    <row r="264" spans="1:22" x14ac:dyDescent="0.25">
      <c r="A264" t="s">
        <v>1050</v>
      </c>
      <c r="B264" s="1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  <c r="O264" t="str">
        <f>IF(OR($N264&lt;EDA_Summary!$B$14,$N264&gt;EDA_Summary!$B$15), "Outlier", "Normal")</f>
        <v>Normal</v>
      </c>
      <c r="S264">
        <v>4</v>
      </c>
      <c r="T264">
        <v>249.07</v>
      </c>
      <c r="U264">
        <v>5</v>
      </c>
      <c r="V264">
        <v>996.28</v>
      </c>
    </row>
    <row r="265" spans="1:22" x14ac:dyDescent="0.25">
      <c r="A265" t="s">
        <v>1053</v>
      </c>
      <c r="B265" s="1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  <c r="O265" t="str">
        <f>IF(OR($N265&lt;EDA_Summary!$B$14,$N265&gt;EDA_Summary!$B$15), "Outlier", "Normal")</f>
        <v>Normal</v>
      </c>
      <c r="S265">
        <v>4</v>
      </c>
      <c r="T265">
        <v>434.85</v>
      </c>
      <c r="U265">
        <v>4</v>
      </c>
      <c r="V265">
        <v>1739.4</v>
      </c>
    </row>
    <row r="266" spans="1:22" x14ac:dyDescent="0.25">
      <c r="A266" t="s">
        <v>1057</v>
      </c>
      <c r="B266" s="1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  <c r="O266" t="str">
        <f>IF(OR($N266&lt;EDA_Summary!$B$14,$N266&gt;EDA_Summary!$B$15), "Outlier", "Normal")</f>
        <v>Normal</v>
      </c>
      <c r="S266">
        <v>1</v>
      </c>
      <c r="T266">
        <v>436.77</v>
      </c>
      <c r="U266">
        <v>5</v>
      </c>
      <c r="V266">
        <v>436.77</v>
      </c>
    </row>
    <row r="267" spans="1:22" x14ac:dyDescent="0.25">
      <c r="A267" t="s">
        <v>1061</v>
      </c>
      <c r="B267" s="1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  <c r="O267" t="str">
        <f>IF(OR($N267&lt;EDA_Summary!$B$14,$N267&gt;EDA_Summary!$B$15), "Outlier", "Normal")</f>
        <v>Normal</v>
      </c>
      <c r="S267">
        <v>1</v>
      </c>
      <c r="T267">
        <v>572.13</v>
      </c>
      <c r="U267">
        <v>4</v>
      </c>
      <c r="V267">
        <v>572.13</v>
      </c>
    </row>
    <row r="268" spans="1:22" x14ac:dyDescent="0.25">
      <c r="A268" t="s">
        <v>1065</v>
      </c>
      <c r="B268" s="1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  <c r="O268" t="str">
        <f>IF(OR($N268&lt;EDA_Summary!$B$14,$N268&gt;EDA_Summary!$B$15), "Outlier", "Normal")</f>
        <v>Normal</v>
      </c>
      <c r="S268">
        <v>4</v>
      </c>
      <c r="T268">
        <v>583.07000000000005</v>
      </c>
      <c r="U268">
        <v>6</v>
      </c>
      <c r="V268">
        <v>2332.2800000000002</v>
      </c>
    </row>
    <row r="269" spans="1:22" x14ac:dyDescent="0.25">
      <c r="A269" t="s">
        <v>1069</v>
      </c>
      <c r="B269" s="1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  <c r="O269" t="str">
        <f>IF(OR($N269&lt;EDA_Summary!$B$14,$N269&gt;EDA_Summary!$B$15), "Outlier", "Normal")</f>
        <v>Normal</v>
      </c>
      <c r="S269">
        <v>5</v>
      </c>
      <c r="T269">
        <v>468.51</v>
      </c>
      <c r="U269">
        <v>9</v>
      </c>
      <c r="V269">
        <v>2342.5500000000002</v>
      </c>
    </row>
    <row r="270" spans="1:22" x14ac:dyDescent="0.25">
      <c r="A270" t="s">
        <v>1073</v>
      </c>
      <c r="B270" s="1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  <c r="O270" t="str">
        <f>IF(OR($N270&lt;EDA_Summary!$B$14,$N270&gt;EDA_Summary!$B$15), "Outlier", "Normal")</f>
        <v>Normal</v>
      </c>
      <c r="S270">
        <v>2</v>
      </c>
      <c r="T270">
        <v>423.88</v>
      </c>
      <c r="U270">
        <v>7</v>
      </c>
      <c r="V270">
        <v>847.76</v>
      </c>
    </row>
    <row r="271" spans="1:22" x14ac:dyDescent="0.25">
      <c r="A271" t="s">
        <v>1077</v>
      </c>
      <c r="B271" s="1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  <c r="O271" t="str">
        <f>IF(OR($N271&lt;EDA_Summary!$B$14,$N271&gt;EDA_Summary!$B$15), "Outlier", "Normal")</f>
        <v>Normal</v>
      </c>
      <c r="S271">
        <v>4</v>
      </c>
      <c r="T271">
        <v>663.67</v>
      </c>
      <c r="U271">
        <v>7</v>
      </c>
      <c r="V271">
        <v>2654.68</v>
      </c>
    </row>
    <row r="272" spans="1:22" x14ac:dyDescent="0.25">
      <c r="A272" t="s">
        <v>1080</v>
      </c>
      <c r="B272" s="1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  <c r="O272" t="str">
        <f>IF(OR($N272&lt;EDA_Summary!$B$14,$N272&gt;EDA_Summary!$B$15), "Outlier", "Normal")</f>
        <v>Normal</v>
      </c>
      <c r="S272">
        <v>4</v>
      </c>
      <c r="T272">
        <v>309.91000000000003</v>
      </c>
      <c r="U272">
        <v>5</v>
      </c>
      <c r="V272">
        <v>1239.6400000000001</v>
      </c>
    </row>
    <row r="273" spans="1:22" x14ac:dyDescent="0.25">
      <c r="A273" t="s">
        <v>1084</v>
      </c>
      <c r="B273" s="1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  <c r="O273" t="str">
        <f>IF(OR($N273&lt;EDA_Summary!$B$14,$N273&gt;EDA_Summary!$B$15), "Outlier", "Normal")</f>
        <v>Normal</v>
      </c>
      <c r="S273">
        <v>1</v>
      </c>
      <c r="T273">
        <v>542.07000000000005</v>
      </c>
      <c r="U273">
        <v>6</v>
      </c>
      <c r="V273">
        <v>542.07000000000005</v>
      </c>
    </row>
    <row r="274" spans="1:22" x14ac:dyDescent="0.25">
      <c r="A274" t="s">
        <v>1088</v>
      </c>
      <c r="B274" s="1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  <c r="O274" t="str">
        <f>IF(OR($N274&lt;EDA_Summary!$B$14,$N274&gt;EDA_Summary!$B$15), "Outlier", "Normal")</f>
        <v>Normal</v>
      </c>
      <c r="S274">
        <v>2</v>
      </c>
      <c r="T274">
        <v>399.32</v>
      </c>
      <c r="U274">
        <v>6</v>
      </c>
      <c r="V274">
        <v>798.64</v>
      </c>
    </row>
    <row r="275" spans="1:22" x14ac:dyDescent="0.25">
      <c r="A275" t="s">
        <v>1092</v>
      </c>
      <c r="B275" s="1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  <c r="O275" t="str">
        <f>IF(OR($N275&lt;EDA_Summary!$B$14,$N275&gt;EDA_Summary!$B$15), "Outlier", "Normal")</f>
        <v>Normal</v>
      </c>
      <c r="S275">
        <v>2</v>
      </c>
      <c r="T275">
        <v>238.25</v>
      </c>
      <c r="U275">
        <v>7</v>
      </c>
      <c r="V275">
        <v>476.5</v>
      </c>
    </row>
    <row r="276" spans="1:22" x14ac:dyDescent="0.25">
      <c r="A276" t="s">
        <v>1096</v>
      </c>
      <c r="B276" s="1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  <c r="O276" t="str">
        <f>IF(OR($N276&lt;EDA_Summary!$B$14,$N276&gt;EDA_Summary!$B$15), "Outlier", "Normal")</f>
        <v>Normal</v>
      </c>
      <c r="S276">
        <v>2</v>
      </c>
      <c r="T276">
        <v>182.4</v>
      </c>
      <c r="U276">
        <v>5</v>
      </c>
      <c r="V276">
        <v>364.8</v>
      </c>
    </row>
    <row r="277" spans="1:22" x14ac:dyDescent="0.25">
      <c r="A277" t="s">
        <v>1100</v>
      </c>
      <c r="B277" s="1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  <c r="O277" t="str">
        <f>IF(OR($N277&lt;EDA_Summary!$B$14,$N277&gt;EDA_Summary!$B$15), "Outlier", "Normal")</f>
        <v>Normal</v>
      </c>
      <c r="S277">
        <v>2</v>
      </c>
      <c r="T277">
        <v>65.069999999999993</v>
      </c>
      <c r="U277">
        <v>4</v>
      </c>
      <c r="V277">
        <v>130.13999999999999</v>
      </c>
    </row>
    <row r="278" spans="1:22" x14ac:dyDescent="0.25">
      <c r="A278" t="s">
        <v>1104</v>
      </c>
      <c r="B278" s="1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  <c r="O278" t="str">
        <f>IF(OR($N278&lt;EDA_Summary!$B$14,$N278&gt;EDA_Summary!$B$15), "Outlier", "Normal")</f>
        <v>Normal</v>
      </c>
      <c r="S278">
        <v>2</v>
      </c>
      <c r="T278">
        <v>600.57000000000005</v>
      </c>
      <c r="U278">
        <v>3</v>
      </c>
      <c r="V278">
        <v>1201.1400000000001</v>
      </c>
    </row>
    <row r="279" spans="1:22" x14ac:dyDescent="0.25">
      <c r="A279" t="s">
        <v>1108</v>
      </c>
      <c r="B279" s="1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  <c r="O279" t="str">
        <f>IF(OR($N279&lt;EDA_Summary!$B$14,$N279&gt;EDA_Summary!$B$15), "Outlier", "Normal")</f>
        <v>Normal</v>
      </c>
      <c r="S279">
        <v>5</v>
      </c>
      <c r="T279">
        <v>90.92</v>
      </c>
      <c r="U279">
        <v>9</v>
      </c>
      <c r="V279">
        <v>454.6</v>
      </c>
    </row>
    <row r="280" spans="1:22" x14ac:dyDescent="0.25">
      <c r="A280" t="s">
        <v>1112</v>
      </c>
      <c r="B280" s="1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  <c r="O280" t="str">
        <f>IF(OR($N280&lt;EDA_Summary!$B$14,$N280&gt;EDA_Summary!$B$15), "Outlier", "Normal")</f>
        <v>Normal</v>
      </c>
      <c r="S280">
        <v>5</v>
      </c>
      <c r="T280">
        <v>362.46</v>
      </c>
      <c r="U280">
        <v>6</v>
      </c>
      <c r="V280">
        <v>1812.3</v>
      </c>
    </row>
    <row r="281" spans="1:22" x14ac:dyDescent="0.25">
      <c r="A281" t="s">
        <v>1116</v>
      </c>
      <c r="B281" s="1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  <c r="O281" t="str">
        <f>IF(OR($N281&lt;EDA_Summary!$B$14,$N281&gt;EDA_Summary!$B$15), "Outlier", "Normal")</f>
        <v>Normal</v>
      </c>
      <c r="S281">
        <v>3</v>
      </c>
      <c r="T281">
        <v>55.01</v>
      </c>
      <c r="U281">
        <v>7</v>
      </c>
      <c r="V281">
        <v>165.03</v>
      </c>
    </row>
    <row r="282" spans="1:22" x14ac:dyDescent="0.25">
      <c r="A282" t="s">
        <v>1120</v>
      </c>
      <c r="B282" s="1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  <c r="O282" t="str">
        <f>IF(OR($N282&lt;EDA_Summary!$B$14,$N282&gt;EDA_Summary!$B$15), "Outlier", "Normal")</f>
        <v>Normal</v>
      </c>
      <c r="S282">
        <v>3</v>
      </c>
      <c r="T282">
        <v>404.62</v>
      </c>
      <c r="U282">
        <v>6</v>
      </c>
      <c r="V282">
        <v>1213.8599999999999</v>
      </c>
    </row>
    <row r="283" spans="1:22" x14ac:dyDescent="0.25">
      <c r="A283" t="s">
        <v>1124</v>
      </c>
      <c r="B283" s="1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  <c r="O283" t="str">
        <f>IF(OR($N283&lt;EDA_Summary!$B$14,$N283&gt;EDA_Summary!$B$15), "Outlier", "Normal")</f>
        <v>Normal</v>
      </c>
      <c r="S283">
        <v>4</v>
      </c>
      <c r="T283">
        <v>654.79</v>
      </c>
      <c r="U283">
        <v>9</v>
      </c>
      <c r="V283">
        <v>2619.16</v>
      </c>
    </row>
    <row r="284" spans="1:22" x14ac:dyDescent="0.25">
      <c r="A284" t="s">
        <v>1128</v>
      </c>
      <c r="B284" s="1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  <c r="O284" t="str">
        <f>IF(OR($N284&lt;EDA_Summary!$B$14,$N284&gt;EDA_Summary!$B$15), "Outlier", "Normal")</f>
        <v>Normal</v>
      </c>
      <c r="S284">
        <v>4</v>
      </c>
      <c r="T284">
        <v>637.79</v>
      </c>
      <c r="U284">
        <v>9</v>
      </c>
      <c r="V284">
        <v>2551.16</v>
      </c>
    </row>
    <row r="285" spans="1:22" x14ac:dyDescent="0.25">
      <c r="A285" t="s">
        <v>1132</v>
      </c>
      <c r="B285" s="1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  <c r="O285" t="str">
        <f>IF(OR($N285&lt;EDA_Summary!$B$14,$N285&gt;EDA_Summary!$B$15), "Outlier", "Normal")</f>
        <v>Normal</v>
      </c>
      <c r="S285">
        <v>4</v>
      </c>
      <c r="T285">
        <v>540.33000000000004</v>
      </c>
      <c r="U285">
        <v>6</v>
      </c>
      <c r="V285">
        <v>2161.3200000000002</v>
      </c>
    </row>
    <row r="286" spans="1:22" x14ac:dyDescent="0.25">
      <c r="A286" t="s">
        <v>1136</v>
      </c>
      <c r="B286" s="1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  <c r="O286" t="str">
        <f>IF(OR($N286&lt;EDA_Summary!$B$14,$N286&gt;EDA_Summary!$B$15), "Outlier", "Normal")</f>
        <v>Normal</v>
      </c>
      <c r="S286">
        <v>5</v>
      </c>
      <c r="T286">
        <v>208.17</v>
      </c>
      <c r="U286">
        <v>6</v>
      </c>
      <c r="V286">
        <v>1040.8499999999999</v>
      </c>
    </row>
    <row r="287" spans="1:22" x14ac:dyDescent="0.25">
      <c r="A287" t="s">
        <v>1140</v>
      </c>
      <c r="B287" s="1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  <c r="O287" t="str">
        <f>IF(OR($N287&lt;EDA_Summary!$B$14,$N287&gt;EDA_Summary!$B$15), "Outlier", "Normal")</f>
        <v>Normal</v>
      </c>
      <c r="S287">
        <v>1</v>
      </c>
      <c r="T287">
        <v>338.31</v>
      </c>
      <c r="U287">
        <v>3</v>
      </c>
      <c r="V287">
        <v>338.31</v>
      </c>
    </row>
    <row r="288" spans="1:22" x14ac:dyDescent="0.25">
      <c r="A288" t="s">
        <v>1143</v>
      </c>
      <c r="B288" s="1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  <c r="O288" t="str">
        <f>IF(OR($N288&lt;EDA_Summary!$B$14,$N288&gt;EDA_Summary!$B$15), "Outlier", "Normal")</f>
        <v>Normal</v>
      </c>
      <c r="S288">
        <v>3</v>
      </c>
      <c r="T288">
        <v>139.44999999999999</v>
      </c>
      <c r="U288">
        <v>8</v>
      </c>
      <c r="V288">
        <v>418.35</v>
      </c>
    </row>
    <row r="289" spans="1:22" x14ac:dyDescent="0.25">
      <c r="A289" t="s">
        <v>1146</v>
      </c>
      <c r="B289" s="1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  <c r="O289" t="str">
        <f>IF(OR($N289&lt;EDA_Summary!$B$14,$N289&gt;EDA_Summary!$B$15), "Outlier", "Normal")</f>
        <v>Normal</v>
      </c>
      <c r="S289">
        <v>4</v>
      </c>
      <c r="T289">
        <v>655.17999999999995</v>
      </c>
      <c r="U289">
        <v>5</v>
      </c>
      <c r="V289">
        <v>2620.7199999999998</v>
      </c>
    </row>
    <row r="290" spans="1:22" x14ac:dyDescent="0.25">
      <c r="A290" t="s">
        <v>1150</v>
      </c>
      <c r="B290" s="1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  <c r="O290" t="str">
        <f>IF(OR($N290&lt;EDA_Summary!$B$14,$N290&gt;EDA_Summary!$B$15), "Outlier", "Normal")</f>
        <v>Normal</v>
      </c>
      <c r="S290">
        <v>4</v>
      </c>
      <c r="T290">
        <v>512.75</v>
      </c>
      <c r="U290">
        <v>8</v>
      </c>
      <c r="V290">
        <v>2051</v>
      </c>
    </row>
    <row r="291" spans="1:22" x14ac:dyDescent="0.25">
      <c r="A291" t="s">
        <v>1154</v>
      </c>
      <c r="B291" s="1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  <c r="O291" t="str">
        <f>IF(OR($N291&lt;EDA_Summary!$B$14,$N291&gt;EDA_Summary!$B$15), "Outlier", "Normal")</f>
        <v>Normal</v>
      </c>
      <c r="S291">
        <v>4</v>
      </c>
      <c r="T291">
        <v>160.49</v>
      </c>
      <c r="U291">
        <v>8</v>
      </c>
      <c r="V291">
        <v>641.96</v>
      </c>
    </row>
    <row r="292" spans="1:22" x14ac:dyDescent="0.25">
      <c r="A292" t="s">
        <v>1157</v>
      </c>
      <c r="B292" s="1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  <c r="O292" t="str">
        <f>IF(OR($N292&lt;EDA_Summary!$B$14,$N292&gt;EDA_Summary!$B$15), "Outlier", "Normal")</f>
        <v>Normal</v>
      </c>
      <c r="S292">
        <v>3</v>
      </c>
      <c r="T292">
        <v>99.9</v>
      </c>
      <c r="U292">
        <v>8</v>
      </c>
      <c r="V292">
        <v>299.7</v>
      </c>
    </row>
    <row r="293" spans="1:22" x14ac:dyDescent="0.25">
      <c r="A293" t="s">
        <v>1160</v>
      </c>
      <c r="B293" s="1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  <c r="O293" t="str">
        <f>IF(OR($N293&lt;EDA_Summary!$B$14,$N293&gt;EDA_Summary!$B$15), "Outlier", "Normal")</f>
        <v>Normal</v>
      </c>
      <c r="S293">
        <v>2</v>
      </c>
      <c r="T293">
        <v>345.01</v>
      </c>
      <c r="U293">
        <v>6</v>
      </c>
      <c r="V293">
        <v>690.02</v>
      </c>
    </row>
    <row r="294" spans="1:22" x14ac:dyDescent="0.25">
      <c r="A294" t="s">
        <v>1164</v>
      </c>
      <c r="B294" s="1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  <c r="O294" t="str">
        <f>IF(OR($N294&lt;EDA_Summary!$B$14,$N294&gt;EDA_Summary!$B$15), "Outlier", "Normal")</f>
        <v>Normal</v>
      </c>
      <c r="S294">
        <v>1</v>
      </c>
      <c r="T294">
        <v>65.95</v>
      </c>
      <c r="U294">
        <v>5</v>
      </c>
      <c r="V294">
        <v>65.95</v>
      </c>
    </row>
    <row r="295" spans="1:22" x14ac:dyDescent="0.25">
      <c r="A295" t="s">
        <v>1167</v>
      </c>
      <c r="B295" s="1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  <c r="O295" t="str">
        <f>IF(OR($N295&lt;EDA_Summary!$B$14,$N295&gt;EDA_Summary!$B$15), "Outlier", "Normal")</f>
        <v>Normal</v>
      </c>
      <c r="S295">
        <v>4</v>
      </c>
      <c r="T295">
        <v>463.04</v>
      </c>
      <c r="U295">
        <v>9</v>
      </c>
      <c r="V295">
        <v>1852.16</v>
      </c>
    </row>
    <row r="296" spans="1:22" x14ac:dyDescent="0.25">
      <c r="A296" t="s">
        <v>1171</v>
      </c>
      <c r="B296" s="1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  <c r="O296" t="str">
        <f>IF(OR($N296&lt;EDA_Summary!$B$14,$N296&gt;EDA_Summary!$B$15), "Outlier", "Normal")</f>
        <v>Normal</v>
      </c>
      <c r="S296">
        <v>2</v>
      </c>
      <c r="T296">
        <v>297.70999999999998</v>
      </c>
      <c r="U296">
        <v>7</v>
      </c>
      <c r="V296">
        <v>595.41999999999996</v>
      </c>
    </row>
    <row r="297" spans="1:22" x14ac:dyDescent="0.25">
      <c r="A297" t="s">
        <v>1175</v>
      </c>
      <c r="B297" s="1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  <c r="O297" t="str">
        <f>IF(OR($N297&lt;EDA_Summary!$B$14,$N297&gt;EDA_Summary!$B$15), "Outlier", "Normal")</f>
        <v>Normal</v>
      </c>
      <c r="S297">
        <v>5</v>
      </c>
      <c r="T297">
        <v>107.48</v>
      </c>
      <c r="U297">
        <v>9</v>
      </c>
      <c r="V297">
        <v>537.4</v>
      </c>
    </row>
    <row r="298" spans="1:22" x14ac:dyDescent="0.25">
      <c r="A298" t="s">
        <v>1179</v>
      </c>
      <c r="B298" s="1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  <c r="O298" t="str">
        <f>IF(OR($N298&lt;EDA_Summary!$B$14,$N298&gt;EDA_Summary!$B$15), "Outlier", "Normal")</f>
        <v>Normal</v>
      </c>
      <c r="S298">
        <v>5</v>
      </c>
      <c r="T298">
        <v>638.79999999999995</v>
      </c>
      <c r="U298">
        <v>10</v>
      </c>
      <c r="V298">
        <v>3194</v>
      </c>
    </row>
    <row r="299" spans="1:22" x14ac:dyDescent="0.25">
      <c r="A299" t="s">
        <v>1182</v>
      </c>
      <c r="B299" s="1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  <c r="O299" t="str">
        <f>IF(OR($N299&lt;EDA_Summary!$B$14,$N299&gt;EDA_Summary!$B$15), "Outlier", "Normal")</f>
        <v>Normal</v>
      </c>
      <c r="S299">
        <v>2</v>
      </c>
      <c r="T299">
        <v>493.88</v>
      </c>
      <c r="U299">
        <v>7</v>
      </c>
      <c r="V299">
        <v>987.76</v>
      </c>
    </row>
    <row r="300" spans="1:22" x14ac:dyDescent="0.25">
      <c r="A300" t="s">
        <v>1186</v>
      </c>
      <c r="B300" s="1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  <c r="O300" t="str">
        <f>IF(OR($N300&lt;EDA_Summary!$B$14,$N300&gt;EDA_Summary!$B$15), "Outlier", "Normal")</f>
        <v>Normal</v>
      </c>
      <c r="S300">
        <v>4</v>
      </c>
      <c r="T300">
        <v>301.17</v>
      </c>
      <c r="U300">
        <v>6</v>
      </c>
      <c r="V300">
        <v>1204.68</v>
      </c>
    </row>
    <row r="301" spans="1:22" x14ac:dyDescent="0.25">
      <c r="A301" t="s">
        <v>1189</v>
      </c>
      <c r="B301" s="1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  <c r="O301" t="str">
        <f>IF(OR($N301&lt;EDA_Summary!$B$14,$N301&gt;EDA_Summary!$B$15), "Outlier", "Normal")</f>
        <v>Normal</v>
      </c>
      <c r="S301">
        <v>1</v>
      </c>
      <c r="T301">
        <v>278.66000000000003</v>
      </c>
      <c r="U301">
        <v>2</v>
      </c>
      <c r="V301">
        <v>278.66000000000003</v>
      </c>
    </row>
    <row r="302" spans="1:22" x14ac:dyDescent="0.25">
      <c r="A302" t="s">
        <v>1193</v>
      </c>
      <c r="B302" s="1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  <c r="O302" t="str">
        <f>IF(OR($N302&lt;EDA_Summary!$B$14,$N302&gt;EDA_Summary!$B$15), "Outlier", "Normal")</f>
        <v>Normal</v>
      </c>
      <c r="S302">
        <v>1</v>
      </c>
      <c r="T302">
        <v>287.45999999999998</v>
      </c>
      <c r="U302">
        <v>3</v>
      </c>
      <c r="V302">
        <v>287.45999999999998</v>
      </c>
    </row>
    <row r="303" spans="1:22" x14ac:dyDescent="0.25">
      <c r="A303" t="s">
        <v>1197</v>
      </c>
      <c r="B303" s="1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  <c r="O303" t="str">
        <f>IF(OR($N303&lt;EDA_Summary!$B$14,$N303&gt;EDA_Summary!$B$15), "Outlier", "Normal")</f>
        <v>Normal</v>
      </c>
      <c r="S303">
        <v>1</v>
      </c>
      <c r="T303">
        <v>583.99</v>
      </c>
      <c r="U303">
        <v>2</v>
      </c>
      <c r="V303">
        <v>583.99</v>
      </c>
    </row>
    <row r="304" spans="1:22" x14ac:dyDescent="0.25">
      <c r="A304" t="s">
        <v>1201</v>
      </c>
      <c r="B304" s="1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  <c r="O304" t="str">
        <f>IF(OR($N304&lt;EDA_Summary!$B$14,$N304&gt;EDA_Summary!$B$15), "Outlier", "Normal")</f>
        <v>Normal</v>
      </c>
      <c r="S304">
        <v>3</v>
      </c>
      <c r="T304">
        <v>468.74</v>
      </c>
      <c r="U304">
        <v>4</v>
      </c>
      <c r="V304">
        <v>1406.22</v>
      </c>
    </row>
    <row r="305" spans="1:22" x14ac:dyDescent="0.25">
      <c r="A305" t="s">
        <v>1205</v>
      </c>
      <c r="B305" s="1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  <c r="O305" t="str">
        <f>IF(OR($N305&lt;EDA_Summary!$B$14,$N305&gt;EDA_Summary!$B$15), "Outlier", "Normal")</f>
        <v>Normal</v>
      </c>
      <c r="S305">
        <v>1</v>
      </c>
      <c r="T305">
        <v>30.54</v>
      </c>
      <c r="U305">
        <v>1</v>
      </c>
      <c r="V305">
        <v>30.54</v>
      </c>
    </row>
    <row r="306" spans="1:22" x14ac:dyDescent="0.25">
      <c r="A306" t="s">
        <v>1209</v>
      </c>
      <c r="B306" s="1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  <c r="O306" t="str">
        <f>IF(OR($N306&lt;EDA_Summary!$B$14,$N306&gt;EDA_Summary!$B$15), "Outlier", "Normal")</f>
        <v>Normal</v>
      </c>
      <c r="S306">
        <v>5</v>
      </c>
      <c r="T306">
        <v>408.73</v>
      </c>
      <c r="U306">
        <v>10</v>
      </c>
      <c r="V306">
        <v>2043.65</v>
      </c>
    </row>
    <row r="307" spans="1:22" x14ac:dyDescent="0.25">
      <c r="A307" t="s">
        <v>1213</v>
      </c>
      <c r="B307" s="1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  <c r="O307" t="str">
        <f>IF(OR($N307&lt;EDA_Summary!$B$14,$N307&gt;EDA_Summary!$B$15), "Outlier", "Normal")</f>
        <v>Normal</v>
      </c>
      <c r="S307">
        <v>4</v>
      </c>
      <c r="T307">
        <v>126.89</v>
      </c>
      <c r="U307">
        <v>9</v>
      </c>
      <c r="V307">
        <v>507.56</v>
      </c>
    </row>
    <row r="308" spans="1:22" x14ac:dyDescent="0.25">
      <c r="A308" t="s">
        <v>1217</v>
      </c>
      <c r="B308" s="1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  <c r="O308" t="str">
        <f>IF(OR($N308&lt;EDA_Summary!$B$14,$N308&gt;EDA_Summary!$B$15), "Outlier", "Normal")</f>
        <v>Normal</v>
      </c>
      <c r="S308">
        <v>2</v>
      </c>
      <c r="T308">
        <v>57.07</v>
      </c>
      <c r="U308">
        <v>3</v>
      </c>
      <c r="V308">
        <v>114.14</v>
      </c>
    </row>
    <row r="309" spans="1:22" x14ac:dyDescent="0.25">
      <c r="A309" t="s">
        <v>1221</v>
      </c>
      <c r="B309" s="1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  <c r="O309" t="str">
        <f>IF(OR($N309&lt;EDA_Summary!$B$14,$N309&gt;EDA_Summary!$B$15), "Outlier", "Normal")</f>
        <v>Normal</v>
      </c>
      <c r="S309">
        <v>3</v>
      </c>
      <c r="T309">
        <v>557.41</v>
      </c>
      <c r="U309">
        <v>4</v>
      </c>
      <c r="V309">
        <v>1672.23</v>
      </c>
    </row>
    <row r="310" spans="1:22" x14ac:dyDescent="0.25">
      <c r="A310" t="s">
        <v>1225</v>
      </c>
      <c r="B310" s="1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  <c r="O310" t="str">
        <f>IF(OR($N310&lt;EDA_Summary!$B$14,$N310&gt;EDA_Summary!$B$15), "Outlier", "Normal")</f>
        <v>Normal</v>
      </c>
      <c r="S310">
        <v>3</v>
      </c>
      <c r="T310">
        <v>448.9</v>
      </c>
      <c r="U310">
        <v>7</v>
      </c>
      <c r="V310">
        <v>1346.7</v>
      </c>
    </row>
    <row r="311" spans="1:22" x14ac:dyDescent="0.25">
      <c r="A311" t="s">
        <v>1228</v>
      </c>
      <c r="B311" s="1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  <c r="O311" t="str">
        <f>IF(OR($N311&lt;EDA_Summary!$B$14,$N311&gt;EDA_Summary!$B$15), "Outlier", "Normal")</f>
        <v>Normal</v>
      </c>
      <c r="S311">
        <v>4</v>
      </c>
      <c r="T311">
        <v>549.76</v>
      </c>
      <c r="U311">
        <v>4</v>
      </c>
      <c r="V311">
        <v>2199.04</v>
      </c>
    </row>
    <row r="312" spans="1:22" x14ac:dyDescent="0.25">
      <c r="A312" t="s">
        <v>1232</v>
      </c>
      <c r="B312" s="1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  <c r="O312" t="str">
        <f>IF(OR($N312&lt;EDA_Summary!$B$14,$N312&gt;EDA_Summary!$B$15), "Outlier", "Normal")</f>
        <v>Normal</v>
      </c>
      <c r="S312">
        <v>3</v>
      </c>
      <c r="T312">
        <v>132.47999999999999</v>
      </c>
      <c r="U312">
        <v>4</v>
      </c>
      <c r="V312">
        <v>397.43999999999988</v>
      </c>
    </row>
    <row r="313" spans="1:22" x14ac:dyDescent="0.25">
      <c r="A313" t="s">
        <v>1236</v>
      </c>
      <c r="B313" s="1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  <c r="O313" t="str">
        <f>IF(OR($N313&lt;EDA_Summary!$B$14,$N313&gt;EDA_Summary!$B$15), "Outlier", "Normal")</f>
        <v>Normal</v>
      </c>
      <c r="S313">
        <v>5</v>
      </c>
      <c r="T313">
        <v>489.37</v>
      </c>
      <c r="U313">
        <v>8</v>
      </c>
      <c r="V313">
        <v>2446.85</v>
      </c>
    </row>
    <row r="314" spans="1:22" x14ac:dyDescent="0.25">
      <c r="A314" t="s">
        <v>1240</v>
      </c>
      <c r="B314" s="1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  <c r="O314" t="str">
        <f>IF(OR($N314&lt;EDA_Summary!$B$14,$N314&gt;EDA_Summary!$B$15), "Outlier", "Normal")</f>
        <v>Normal</v>
      </c>
      <c r="S314">
        <v>5</v>
      </c>
      <c r="T314">
        <v>66.31</v>
      </c>
      <c r="U314">
        <v>7</v>
      </c>
      <c r="V314">
        <v>331.55</v>
      </c>
    </row>
    <row r="315" spans="1:22" x14ac:dyDescent="0.25">
      <c r="A315" t="s">
        <v>1243</v>
      </c>
      <c r="B315" s="1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  <c r="O315" t="str">
        <f>IF(OR($N315&lt;EDA_Summary!$B$14,$N315&gt;EDA_Summary!$B$15), "Outlier", "Normal")</f>
        <v>Normal</v>
      </c>
      <c r="S315">
        <v>2</v>
      </c>
      <c r="T315">
        <v>434.3</v>
      </c>
      <c r="U315">
        <v>7</v>
      </c>
      <c r="V315">
        <v>868.6</v>
      </c>
    </row>
    <row r="316" spans="1:22" x14ac:dyDescent="0.25">
      <c r="A316" t="s">
        <v>1247</v>
      </c>
      <c r="B316" s="1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  <c r="O316" t="str">
        <f>IF(OR($N316&lt;EDA_Summary!$B$14,$N316&gt;EDA_Summary!$B$15), "Outlier", "Normal")</f>
        <v>Normal</v>
      </c>
      <c r="S316">
        <v>4</v>
      </c>
      <c r="T316">
        <v>153.09</v>
      </c>
      <c r="U316">
        <v>4</v>
      </c>
      <c r="V316">
        <v>612.36</v>
      </c>
    </row>
    <row r="317" spans="1:22" x14ac:dyDescent="0.25">
      <c r="A317" t="s">
        <v>1251</v>
      </c>
      <c r="B317" s="1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  <c r="O317" t="str">
        <f>IF(OR($N317&lt;EDA_Summary!$B$14,$N317&gt;EDA_Summary!$B$15), "Outlier", "Normal")</f>
        <v>Normal</v>
      </c>
      <c r="S317">
        <v>5</v>
      </c>
      <c r="T317">
        <v>91.67</v>
      </c>
      <c r="U317">
        <v>9</v>
      </c>
      <c r="V317">
        <v>458.35</v>
      </c>
    </row>
    <row r="318" spans="1:22" x14ac:dyDescent="0.25">
      <c r="A318" t="s">
        <v>1255</v>
      </c>
      <c r="B318" s="1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  <c r="O318" t="str">
        <f>IF(OR($N318&lt;EDA_Summary!$B$14,$N318&gt;EDA_Summary!$B$15), "Outlier", "Normal")</f>
        <v>Normal</v>
      </c>
      <c r="S318">
        <v>4</v>
      </c>
      <c r="T318">
        <v>275.27999999999997</v>
      </c>
      <c r="U318">
        <v>9</v>
      </c>
      <c r="V318">
        <v>1101.1199999999999</v>
      </c>
    </row>
    <row r="319" spans="1:22" x14ac:dyDescent="0.25">
      <c r="A319" t="s">
        <v>1259</v>
      </c>
      <c r="B319" s="1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  <c r="O319" t="str">
        <f>IF(OR($N319&lt;EDA_Summary!$B$14,$N319&gt;EDA_Summary!$B$15), "Outlier", "Normal")</f>
        <v>Normal</v>
      </c>
      <c r="S319">
        <v>2</v>
      </c>
      <c r="T319">
        <v>139.94999999999999</v>
      </c>
      <c r="U319">
        <v>5</v>
      </c>
      <c r="V319">
        <v>279.89999999999998</v>
      </c>
    </row>
    <row r="320" spans="1:22" x14ac:dyDescent="0.25">
      <c r="A320" t="s">
        <v>1263</v>
      </c>
      <c r="B320" s="1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  <c r="O320" t="str">
        <f>IF(OR($N320&lt;EDA_Summary!$B$14,$N320&gt;EDA_Summary!$B$15), "Outlier", "Normal")</f>
        <v>Normal</v>
      </c>
      <c r="S320">
        <v>3</v>
      </c>
      <c r="T320">
        <v>148.72</v>
      </c>
      <c r="U320">
        <v>7</v>
      </c>
      <c r="V320">
        <v>446.16</v>
      </c>
    </row>
    <row r="321" spans="1:22" x14ac:dyDescent="0.25">
      <c r="A321" t="s">
        <v>1266</v>
      </c>
      <c r="B321" s="1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  <c r="O321" t="str">
        <f>IF(OR($N321&lt;EDA_Summary!$B$14,$N321&gt;EDA_Summary!$B$15), "Outlier", "Normal")</f>
        <v>Normal</v>
      </c>
      <c r="S321">
        <v>2</v>
      </c>
      <c r="T321">
        <v>563.05999999999995</v>
      </c>
      <c r="U321">
        <v>6</v>
      </c>
      <c r="V321">
        <v>1126.1199999999999</v>
      </c>
    </row>
    <row r="322" spans="1:22" x14ac:dyDescent="0.25">
      <c r="A322" t="s">
        <v>1270</v>
      </c>
      <c r="B322" s="1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  <c r="O322" t="str">
        <f>IF(OR($N322&lt;EDA_Summary!$B$14,$N322&gt;EDA_Summary!$B$15), "Outlier", "Normal")</f>
        <v>Normal</v>
      </c>
      <c r="S322">
        <v>1</v>
      </c>
      <c r="T322">
        <v>625.51</v>
      </c>
      <c r="U322">
        <v>1</v>
      </c>
      <c r="V322">
        <v>625.51</v>
      </c>
    </row>
    <row r="323" spans="1:22" x14ac:dyDescent="0.25">
      <c r="A323" t="s">
        <v>1274</v>
      </c>
      <c r="B323" s="1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  <c r="O323" t="str">
        <f>IF(OR($N323&lt;EDA_Summary!$B$14,$N323&gt;EDA_Summary!$B$15), "Outlier", "Normal")</f>
        <v>Normal</v>
      </c>
      <c r="S323">
        <v>4</v>
      </c>
      <c r="T323">
        <v>152.29</v>
      </c>
      <c r="U323">
        <v>6</v>
      </c>
      <c r="V323">
        <v>609.16</v>
      </c>
    </row>
    <row r="324" spans="1:22" x14ac:dyDescent="0.25">
      <c r="A324" t="s">
        <v>1277</v>
      </c>
      <c r="B324" s="1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  <c r="O324" t="str">
        <f>IF(OR($N324&lt;EDA_Summary!$B$14,$N324&gt;EDA_Summary!$B$15), "Outlier", "Normal")</f>
        <v>Normal</v>
      </c>
      <c r="S324">
        <v>5</v>
      </c>
      <c r="T324">
        <v>231.82</v>
      </c>
      <c r="U324">
        <v>6</v>
      </c>
      <c r="V324">
        <v>1159.0999999999999</v>
      </c>
    </row>
    <row r="325" spans="1:22" x14ac:dyDescent="0.25">
      <c r="A325" t="s">
        <v>1280</v>
      </c>
      <c r="B325" s="1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  <c r="O325" t="str">
        <f>IF(OR($N325&lt;EDA_Summary!$B$14,$N325&gt;EDA_Summary!$B$15), "Outlier", "Normal")</f>
        <v>Normal</v>
      </c>
      <c r="S325">
        <v>1</v>
      </c>
      <c r="T325">
        <v>150.16999999999999</v>
      </c>
      <c r="U325">
        <v>1</v>
      </c>
      <c r="V325">
        <v>150.16999999999999</v>
      </c>
    </row>
    <row r="326" spans="1:22" x14ac:dyDescent="0.25">
      <c r="A326" t="s">
        <v>1284</v>
      </c>
      <c r="B326" s="1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  <c r="O326" t="str">
        <f>IF(OR($N326&lt;EDA_Summary!$B$14,$N326&gt;EDA_Summary!$B$15), "Outlier", "Normal")</f>
        <v>Normal</v>
      </c>
      <c r="S326">
        <v>3</v>
      </c>
      <c r="T326">
        <v>70.930000000000007</v>
      </c>
      <c r="U326">
        <v>5</v>
      </c>
      <c r="V326">
        <v>212.79</v>
      </c>
    </row>
    <row r="327" spans="1:22" x14ac:dyDescent="0.25">
      <c r="A327" t="s">
        <v>1288</v>
      </c>
      <c r="B327" s="1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  <c r="O327" t="str">
        <f>IF(OR($N327&lt;EDA_Summary!$B$14,$N327&gt;EDA_Summary!$B$15), "Outlier", "Normal")</f>
        <v>Normal</v>
      </c>
      <c r="S327">
        <v>3</v>
      </c>
      <c r="T327">
        <v>361.39</v>
      </c>
      <c r="U327">
        <v>8</v>
      </c>
      <c r="V327">
        <v>1084.17</v>
      </c>
    </row>
    <row r="328" spans="1:22" x14ac:dyDescent="0.25">
      <c r="A328" t="s">
        <v>1292</v>
      </c>
      <c r="B328" s="1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  <c r="O328" t="str">
        <f>IF(OR($N328&lt;EDA_Summary!$B$14,$N328&gt;EDA_Summary!$B$15), "Outlier", "Normal")</f>
        <v>Outlier</v>
      </c>
      <c r="S328">
        <v>5</v>
      </c>
      <c r="T328">
        <v>670.48</v>
      </c>
      <c r="U328">
        <v>5</v>
      </c>
      <c r="V328">
        <v>3352.4</v>
      </c>
    </row>
    <row r="329" spans="1:22" x14ac:dyDescent="0.25">
      <c r="A329" t="s">
        <v>1295</v>
      </c>
      <c r="B329" s="1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  <c r="O329" t="str">
        <f>IF(OR($N329&lt;EDA_Summary!$B$14,$N329&gt;EDA_Summary!$B$15), "Outlier", "Normal")</f>
        <v>Normal</v>
      </c>
      <c r="S329">
        <v>1</v>
      </c>
      <c r="T329">
        <v>359.99</v>
      </c>
      <c r="U329">
        <v>5</v>
      </c>
      <c r="V329">
        <v>359.99</v>
      </c>
    </row>
    <row r="330" spans="1:22" x14ac:dyDescent="0.25">
      <c r="A330" t="s">
        <v>1298</v>
      </c>
      <c r="B330" s="1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  <c r="O330" t="str">
        <f>IF(OR($N330&lt;EDA_Summary!$B$14,$N330&gt;EDA_Summary!$B$15), "Outlier", "Normal")</f>
        <v>Outlier</v>
      </c>
      <c r="S330">
        <v>5</v>
      </c>
      <c r="T330">
        <v>674.04</v>
      </c>
      <c r="U330">
        <v>7</v>
      </c>
      <c r="V330">
        <v>3370.2</v>
      </c>
    </row>
    <row r="331" spans="1:22" x14ac:dyDescent="0.25">
      <c r="A331" t="s">
        <v>1302</v>
      </c>
      <c r="B331" s="1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  <c r="O331" t="str">
        <f>IF(OR($N331&lt;EDA_Summary!$B$14,$N331&gt;EDA_Summary!$B$15), "Outlier", "Normal")</f>
        <v>Normal</v>
      </c>
      <c r="S331">
        <v>4</v>
      </c>
      <c r="T331">
        <v>283.16000000000003</v>
      </c>
      <c r="U331">
        <v>6</v>
      </c>
      <c r="V331">
        <v>1132.6400000000001</v>
      </c>
    </row>
    <row r="332" spans="1:22" x14ac:dyDescent="0.25">
      <c r="A332" t="s">
        <v>1305</v>
      </c>
      <c r="B332" s="1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  <c r="O332" t="str">
        <f>IF(OR($N332&lt;EDA_Summary!$B$14,$N332&gt;EDA_Summary!$B$15), "Outlier", "Normal")</f>
        <v>Normal</v>
      </c>
      <c r="S332">
        <v>5</v>
      </c>
      <c r="T332">
        <v>260.52999999999997</v>
      </c>
      <c r="U332">
        <v>5</v>
      </c>
      <c r="V332">
        <v>1302.6500000000001</v>
      </c>
    </row>
    <row r="333" spans="1:22" x14ac:dyDescent="0.25">
      <c r="A333" t="s">
        <v>1309</v>
      </c>
      <c r="B333" s="1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  <c r="O333" t="str">
        <f>IF(OR($N333&lt;EDA_Summary!$B$14,$N333&gt;EDA_Summary!$B$15), "Outlier", "Normal")</f>
        <v>Normal</v>
      </c>
      <c r="S333">
        <v>3</v>
      </c>
      <c r="T333">
        <v>422.13</v>
      </c>
      <c r="U333">
        <v>7</v>
      </c>
      <c r="V333">
        <v>1266.3900000000001</v>
      </c>
    </row>
    <row r="334" spans="1:22" x14ac:dyDescent="0.25">
      <c r="A334" t="s">
        <v>1312</v>
      </c>
      <c r="B334" s="1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  <c r="O334" t="str">
        <f>IF(OR($N334&lt;EDA_Summary!$B$14,$N334&gt;EDA_Summary!$B$15), "Outlier", "Normal")</f>
        <v>Normal</v>
      </c>
      <c r="S334">
        <v>5</v>
      </c>
      <c r="T334">
        <v>125.02</v>
      </c>
      <c r="U334">
        <v>9</v>
      </c>
      <c r="V334">
        <v>625.1</v>
      </c>
    </row>
    <row r="335" spans="1:22" x14ac:dyDescent="0.25">
      <c r="A335" t="s">
        <v>1316</v>
      </c>
      <c r="B335" s="1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  <c r="O335" t="str">
        <f>IF(OR($N335&lt;EDA_Summary!$B$14,$N335&gt;EDA_Summary!$B$15), "Outlier", "Normal")</f>
        <v>Normal</v>
      </c>
      <c r="S335">
        <v>1</v>
      </c>
      <c r="T335">
        <v>198.51</v>
      </c>
      <c r="U335">
        <v>5</v>
      </c>
      <c r="V335">
        <v>198.51</v>
      </c>
    </row>
    <row r="336" spans="1:22" x14ac:dyDescent="0.25">
      <c r="A336" t="s">
        <v>1320</v>
      </c>
      <c r="B336" s="1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  <c r="O336" t="str">
        <f>IF(OR($N336&lt;EDA_Summary!$B$14,$N336&gt;EDA_Summary!$B$15), "Outlier", "Normal")</f>
        <v>Normal</v>
      </c>
      <c r="S336">
        <v>4</v>
      </c>
      <c r="T336">
        <v>224.75</v>
      </c>
      <c r="U336">
        <v>7</v>
      </c>
      <c r="V336">
        <v>899</v>
      </c>
    </row>
    <row r="337" spans="1:22" x14ac:dyDescent="0.25">
      <c r="A337" t="s">
        <v>1324</v>
      </c>
      <c r="B337" s="1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  <c r="O337" t="str">
        <f>IF(OR($N337&lt;EDA_Summary!$B$14,$N337&gt;EDA_Summary!$B$15), "Outlier", "Normal")</f>
        <v>Normal</v>
      </c>
      <c r="S337">
        <v>3</v>
      </c>
      <c r="T337">
        <v>205.86</v>
      </c>
      <c r="U337">
        <v>4</v>
      </c>
      <c r="V337">
        <v>617.58000000000004</v>
      </c>
    </row>
    <row r="338" spans="1:22" x14ac:dyDescent="0.25">
      <c r="A338" t="s">
        <v>1327</v>
      </c>
      <c r="B338" s="1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  <c r="O338" t="str">
        <f>IF(OR($N338&lt;EDA_Summary!$B$14,$N338&gt;EDA_Summary!$B$15), "Outlier", "Normal")</f>
        <v>Normal</v>
      </c>
      <c r="S338">
        <v>1</v>
      </c>
      <c r="T338">
        <v>18.2</v>
      </c>
      <c r="U338">
        <v>4</v>
      </c>
      <c r="V338">
        <v>18.2</v>
      </c>
    </row>
    <row r="339" spans="1:22" x14ac:dyDescent="0.25">
      <c r="A339" t="s">
        <v>1331</v>
      </c>
      <c r="B339" s="1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  <c r="O339" t="str">
        <f>IF(OR($N339&lt;EDA_Summary!$B$14,$N339&gt;EDA_Summary!$B$15), "Outlier", "Normal")</f>
        <v>Normal</v>
      </c>
      <c r="S339">
        <v>3</v>
      </c>
      <c r="T339">
        <v>502.77</v>
      </c>
      <c r="U339">
        <v>8</v>
      </c>
      <c r="V339">
        <v>1508.31</v>
      </c>
    </row>
    <row r="340" spans="1:22" x14ac:dyDescent="0.25">
      <c r="A340" t="s">
        <v>1335</v>
      </c>
      <c r="B340" s="1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  <c r="O340" t="str">
        <f>IF(OR($N340&lt;EDA_Summary!$B$14,$N340&gt;EDA_Summary!$B$15), "Outlier", "Normal")</f>
        <v>Normal</v>
      </c>
      <c r="S340">
        <v>5</v>
      </c>
      <c r="T340">
        <v>305.49</v>
      </c>
      <c r="U340">
        <v>10</v>
      </c>
      <c r="V340">
        <v>1527.45</v>
      </c>
    </row>
    <row r="341" spans="1:22" x14ac:dyDescent="0.25">
      <c r="A341" t="s">
        <v>1339</v>
      </c>
      <c r="B341" s="1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  <c r="O341" t="str">
        <f>IF(OR($N341&lt;EDA_Summary!$B$14,$N341&gt;EDA_Summary!$B$15), "Outlier", "Normal")</f>
        <v>Normal</v>
      </c>
      <c r="S341">
        <v>2</v>
      </c>
      <c r="T341">
        <v>236.33</v>
      </c>
      <c r="U341">
        <v>3</v>
      </c>
      <c r="V341">
        <v>472.66</v>
      </c>
    </row>
    <row r="342" spans="1:22" x14ac:dyDescent="0.25">
      <c r="A342" t="s">
        <v>1343</v>
      </c>
      <c r="B342" s="1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  <c r="O342" t="str">
        <f>IF(OR($N342&lt;EDA_Summary!$B$14,$N342&gt;EDA_Summary!$B$15), "Outlier", "Normal")</f>
        <v>Normal</v>
      </c>
      <c r="S342">
        <v>5</v>
      </c>
      <c r="T342">
        <v>521.25</v>
      </c>
      <c r="U342">
        <v>8</v>
      </c>
      <c r="V342">
        <v>2606.25</v>
      </c>
    </row>
    <row r="343" spans="1:22" x14ac:dyDescent="0.25">
      <c r="A343" t="s">
        <v>1347</v>
      </c>
      <c r="B343" s="1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  <c r="O343" t="str">
        <f>IF(OR($N343&lt;EDA_Summary!$B$14,$N343&gt;EDA_Summary!$B$15), "Outlier", "Normal")</f>
        <v>Normal</v>
      </c>
      <c r="S343">
        <v>1</v>
      </c>
      <c r="T343">
        <v>167.15</v>
      </c>
      <c r="U343">
        <v>5</v>
      </c>
      <c r="V343">
        <v>167.15</v>
      </c>
    </row>
    <row r="344" spans="1:22" x14ac:dyDescent="0.25">
      <c r="A344" t="s">
        <v>1351</v>
      </c>
      <c r="B344" s="1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  <c r="O344" t="str">
        <f>IF(OR($N344&lt;EDA_Summary!$B$14,$N344&gt;EDA_Summary!$B$15), "Outlier", "Normal")</f>
        <v>Normal</v>
      </c>
      <c r="S344">
        <v>5</v>
      </c>
      <c r="T344">
        <v>466.42</v>
      </c>
      <c r="U344">
        <v>5</v>
      </c>
      <c r="V344">
        <v>2332.1</v>
      </c>
    </row>
    <row r="345" spans="1:22" x14ac:dyDescent="0.25">
      <c r="A345" t="s">
        <v>1355</v>
      </c>
      <c r="B345" s="1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  <c r="O345" t="str">
        <f>IF(OR($N345&lt;EDA_Summary!$B$14,$N345&gt;EDA_Summary!$B$15), "Outlier", "Normal")</f>
        <v>Normal</v>
      </c>
      <c r="S345">
        <v>1</v>
      </c>
      <c r="T345">
        <v>527.57000000000005</v>
      </c>
      <c r="U345">
        <v>3</v>
      </c>
      <c r="V345">
        <v>527.57000000000005</v>
      </c>
    </row>
    <row r="346" spans="1:22" x14ac:dyDescent="0.25">
      <c r="A346" t="s">
        <v>1359</v>
      </c>
      <c r="B346" s="1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  <c r="O346" t="str">
        <f>IF(OR($N346&lt;EDA_Summary!$B$14,$N346&gt;EDA_Summary!$B$15), "Outlier", "Normal")</f>
        <v>Normal</v>
      </c>
      <c r="S346">
        <v>3</v>
      </c>
      <c r="T346">
        <v>623.34</v>
      </c>
      <c r="U346">
        <v>3</v>
      </c>
      <c r="V346">
        <v>1870.02</v>
      </c>
    </row>
    <row r="347" spans="1:22" x14ac:dyDescent="0.25">
      <c r="A347" t="s">
        <v>1363</v>
      </c>
      <c r="B347" s="1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  <c r="O347" t="str">
        <f>IF(OR($N347&lt;EDA_Summary!$B$14,$N347&gt;EDA_Summary!$B$15), "Outlier", "Normal")</f>
        <v>Normal</v>
      </c>
      <c r="S347">
        <v>5</v>
      </c>
      <c r="T347">
        <v>501.26</v>
      </c>
      <c r="U347">
        <v>10</v>
      </c>
      <c r="V347">
        <v>2506.3000000000002</v>
      </c>
    </row>
    <row r="348" spans="1:22" x14ac:dyDescent="0.25">
      <c r="A348" t="s">
        <v>1367</v>
      </c>
      <c r="B348" s="1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  <c r="O348" t="str">
        <f>IF(OR($N348&lt;EDA_Summary!$B$14,$N348&gt;EDA_Summary!$B$15), "Outlier", "Normal")</f>
        <v>Normal</v>
      </c>
      <c r="S348">
        <v>1</v>
      </c>
      <c r="T348">
        <v>655.09</v>
      </c>
      <c r="U348">
        <v>6</v>
      </c>
      <c r="V348">
        <v>655.09</v>
      </c>
    </row>
    <row r="349" spans="1:22" x14ac:dyDescent="0.25">
      <c r="A349" t="s">
        <v>1371</v>
      </c>
      <c r="B349" s="1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  <c r="O349" t="str">
        <f>IF(OR($N349&lt;EDA_Summary!$B$14,$N349&gt;EDA_Summary!$B$15), "Outlier", "Normal")</f>
        <v>Normal</v>
      </c>
      <c r="S349">
        <v>4</v>
      </c>
      <c r="T349">
        <v>264.79000000000002</v>
      </c>
      <c r="U349">
        <v>5</v>
      </c>
      <c r="V349">
        <v>1059.1600000000001</v>
      </c>
    </row>
    <row r="350" spans="1:22" x14ac:dyDescent="0.25">
      <c r="A350" t="s">
        <v>1375</v>
      </c>
      <c r="B350" s="1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  <c r="O350" t="str">
        <f>IF(OR($N350&lt;EDA_Summary!$B$14,$N350&gt;EDA_Summary!$B$15), "Outlier", "Normal")</f>
        <v>Normal</v>
      </c>
      <c r="S350">
        <v>3</v>
      </c>
      <c r="T350">
        <v>359.73</v>
      </c>
      <c r="U350">
        <v>7</v>
      </c>
      <c r="V350">
        <v>1079.19</v>
      </c>
    </row>
    <row r="351" spans="1:22" x14ac:dyDescent="0.25">
      <c r="A351" t="s">
        <v>1379</v>
      </c>
      <c r="B351" s="1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  <c r="O351" t="str">
        <f>IF(OR($N351&lt;EDA_Summary!$B$14,$N351&gt;EDA_Summary!$B$15), "Outlier", "Normal")</f>
        <v>Normal</v>
      </c>
      <c r="S351">
        <v>1</v>
      </c>
      <c r="T351">
        <v>465.33</v>
      </c>
      <c r="U351">
        <v>2</v>
      </c>
      <c r="V351">
        <v>465.33</v>
      </c>
    </row>
    <row r="352" spans="1:22" x14ac:dyDescent="0.25">
      <c r="A352" t="s">
        <v>1383</v>
      </c>
      <c r="B352" s="1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  <c r="O352" t="str">
        <f>IF(OR($N352&lt;EDA_Summary!$B$14,$N352&gt;EDA_Summary!$B$15), "Outlier", "Normal")</f>
        <v>Normal</v>
      </c>
      <c r="S352">
        <v>2</v>
      </c>
      <c r="T352">
        <v>54.41</v>
      </c>
      <c r="U352">
        <v>6</v>
      </c>
      <c r="V352">
        <v>108.82</v>
      </c>
    </row>
    <row r="353" spans="1:22" x14ac:dyDescent="0.25">
      <c r="A353" t="s">
        <v>1387</v>
      </c>
      <c r="B353" s="1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  <c r="O353" t="str">
        <f>IF(OR($N353&lt;EDA_Summary!$B$14,$N353&gt;EDA_Summary!$B$15), "Outlier", "Normal")</f>
        <v>Normal</v>
      </c>
      <c r="S353">
        <v>1</v>
      </c>
      <c r="T353">
        <v>64.66</v>
      </c>
      <c r="U353">
        <v>4</v>
      </c>
      <c r="V353">
        <v>64.66</v>
      </c>
    </row>
    <row r="354" spans="1:22" x14ac:dyDescent="0.25">
      <c r="A354" t="s">
        <v>1391</v>
      </c>
      <c r="B354" s="1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  <c r="O354" t="str">
        <f>IF(OR($N354&lt;EDA_Summary!$B$14,$N354&gt;EDA_Summary!$B$15), "Outlier", "Normal")</f>
        <v>Normal</v>
      </c>
      <c r="S354">
        <v>5</v>
      </c>
      <c r="T354">
        <v>173.96</v>
      </c>
      <c r="U354">
        <v>8</v>
      </c>
      <c r="V354">
        <v>869.80000000000007</v>
      </c>
    </row>
    <row r="355" spans="1:22" x14ac:dyDescent="0.25">
      <c r="A355" t="s">
        <v>1395</v>
      </c>
      <c r="B355" s="1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  <c r="O355" t="str">
        <f>IF(OR($N355&lt;EDA_Summary!$B$14,$N355&gt;EDA_Summary!$B$15), "Outlier", "Normal")</f>
        <v>Normal</v>
      </c>
      <c r="S355">
        <v>1</v>
      </c>
      <c r="T355">
        <v>630.82000000000005</v>
      </c>
      <c r="U355">
        <v>5</v>
      </c>
      <c r="V355">
        <v>630.82000000000005</v>
      </c>
    </row>
    <row r="356" spans="1:22" x14ac:dyDescent="0.25">
      <c r="A356" t="s">
        <v>1399</v>
      </c>
      <c r="B356" s="1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  <c r="O356" t="str">
        <f>IF(OR($N356&lt;EDA_Summary!$B$14,$N356&gt;EDA_Summary!$B$15), "Outlier", "Normal")</f>
        <v>Normal</v>
      </c>
      <c r="S356">
        <v>1</v>
      </c>
      <c r="T356">
        <v>693.41</v>
      </c>
      <c r="U356">
        <v>4</v>
      </c>
      <c r="V356">
        <v>693.41</v>
      </c>
    </row>
    <row r="357" spans="1:22" x14ac:dyDescent="0.25">
      <c r="A357" t="s">
        <v>1403</v>
      </c>
      <c r="B357" s="1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  <c r="O357" t="str">
        <f>IF(OR($N357&lt;EDA_Summary!$B$14,$N357&gt;EDA_Summary!$B$15), "Outlier", "Normal")</f>
        <v>Normal</v>
      </c>
      <c r="S357">
        <v>3</v>
      </c>
      <c r="T357">
        <v>433.33</v>
      </c>
      <c r="U357">
        <v>4</v>
      </c>
      <c r="V357">
        <v>1299.99</v>
      </c>
    </row>
    <row r="358" spans="1:22" x14ac:dyDescent="0.25">
      <c r="A358" t="s">
        <v>1407</v>
      </c>
      <c r="B358" s="1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  <c r="O358" t="str">
        <f>IF(OR($N358&lt;EDA_Summary!$B$14,$N358&gt;EDA_Summary!$B$15), "Outlier", "Normal")</f>
        <v>Normal</v>
      </c>
      <c r="S358">
        <v>5</v>
      </c>
      <c r="T358">
        <v>374.58</v>
      </c>
      <c r="U358">
        <v>10</v>
      </c>
      <c r="V358">
        <v>1872.9</v>
      </c>
    </row>
    <row r="359" spans="1:22" x14ac:dyDescent="0.25">
      <c r="A359" t="s">
        <v>1411</v>
      </c>
      <c r="B359" s="1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  <c r="O359" t="str">
        <f>IF(OR($N359&lt;EDA_Summary!$B$14,$N359&gt;EDA_Summary!$B$15), "Outlier", "Normal")</f>
        <v>Normal</v>
      </c>
      <c r="S359">
        <v>5</v>
      </c>
      <c r="T359">
        <v>408.56</v>
      </c>
      <c r="U359">
        <v>8</v>
      </c>
      <c r="V359">
        <v>2042.8</v>
      </c>
    </row>
    <row r="360" spans="1:22" x14ac:dyDescent="0.25">
      <c r="A360" t="s">
        <v>1414</v>
      </c>
      <c r="B360" s="1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  <c r="O360" t="str">
        <f>IF(OR($N360&lt;EDA_Summary!$B$14,$N360&gt;EDA_Summary!$B$15), "Outlier", "Normal")</f>
        <v>Normal</v>
      </c>
      <c r="S360">
        <v>2</v>
      </c>
      <c r="T360">
        <v>183.67</v>
      </c>
      <c r="U360">
        <v>3</v>
      </c>
      <c r="V360">
        <v>367.34</v>
      </c>
    </row>
    <row r="361" spans="1:22" x14ac:dyDescent="0.25">
      <c r="A361" t="s">
        <v>1418</v>
      </c>
      <c r="B361" s="1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  <c r="O361" t="str">
        <f>IF(OR($N361&lt;EDA_Summary!$B$14,$N361&gt;EDA_Summary!$B$15), "Outlier", "Normal")</f>
        <v>Normal</v>
      </c>
      <c r="S361">
        <v>4</v>
      </c>
      <c r="T361">
        <v>606.57000000000005</v>
      </c>
      <c r="U361">
        <v>5</v>
      </c>
      <c r="V361">
        <v>2426.2800000000002</v>
      </c>
    </row>
    <row r="362" spans="1:22" x14ac:dyDescent="0.25">
      <c r="A362" t="s">
        <v>1422</v>
      </c>
      <c r="B362" s="1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  <c r="O362" t="str">
        <f>IF(OR($N362&lt;EDA_Summary!$B$14,$N362&gt;EDA_Summary!$B$15), "Outlier", "Normal")</f>
        <v>Normal</v>
      </c>
      <c r="S362">
        <v>4</v>
      </c>
      <c r="T362">
        <v>589.57000000000005</v>
      </c>
      <c r="U362">
        <v>8</v>
      </c>
      <c r="V362">
        <v>2358.2800000000002</v>
      </c>
    </row>
    <row r="363" spans="1:22" x14ac:dyDescent="0.25">
      <c r="A363" t="s">
        <v>1426</v>
      </c>
      <c r="B363" s="1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  <c r="O363" t="str">
        <f>IF(OR($N363&lt;EDA_Summary!$B$14,$N363&gt;EDA_Summary!$B$15), "Outlier", "Normal")</f>
        <v>Normal</v>
      </c>
      <c r="S363">
        <v>5</v>
      </c>
      <c r="T363">
        <v>659.85</v>
      </c>
      <c r="U363">
        <v>9</v>
      </c>
      <c r="V363">
        <v>3299.25</v>
      </c>
    </row>
    <row r="364" spans="1:22" x14ac:dyDescent="0.25">
      <c r="A364" t="s">
        <v>1430</v>
      </c>
      <c r="B364" s="1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  <c r="O364" t="str">
        <f>IF(OR($N364&lt;EDA_Summary!$B$14,$N364&gt;EDA_Summary!$B$15), "Outlier", "Normal")</f>
        <v>Normal</v>
      </c>
      <c r="S364">
        <v>4</v>
      </c>
      <c r="T364">
        <v>206.84</v>
      </c>
      <c r="U364">
        <v>5</v>
      </c>
      <c r="V364">
        <v>827.36</v>
      </c>
    </row>
    <row r="365" spans="1:22" x14ac:dyDescent="0.25">
      <c r="A365" t="s">
        <v>1434</v>
      </c>
      <c r="B365" s="1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  <c r="O365" t="str">
        <f>IF(OR($N365&lt;EDA_Summary!$B$14,$N365&gt;EDA_Summary!$B$15), "Outlier", "Normal")</f>
        <v>Normal</v>
      </c>
      <c r="S365">
        <v>5</v>
      </c>
      <c r="T365">
        <v>113.87</v>
      </c>
      <c r="U365">
        <v>6</v>
      </c>
      <c r="V365">
        <v>569.35</v>
      </c>
    </row>
    <row r="366" spans="1:22" x14ac:dyDescent="0.25">
      <c r="A366" t="s">
        <v>1437</v>
      </c>
      <c r="B366" s="1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  <c r="O366" t="str">
        <f>IF(OR($N366&lt;EDA_Summary!$B$14,$N366&gt;EDA_Summary!$B$15), "Outlier", "Normal")</f>
        <v>Normal</v>
      </c>
      <c r="S366">
        <v>5</v>
      </c>
      <c r="T366">
        <v>628.74</v>
      </c>
      <c r="U366">
        <v>9</v>
      </c>
      <c r="V366">
        <v>3143.7</v>
      </c>
    </row>
    <row r="367" spans="1:22" x14ac:dyDescent="0.25">
      <c r="A367" t="s">
        <v>1440</v>
      </c>
      <c r="B367" s="1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  <c r="O367" t="str">
        <f>IF(OR($N367&lt;EDA_Summary!$B$14,$N367&gt;EDA_Summary!$B$15), "Outlier", "Normal")</f>
        <v>Normal</v>
      </c>
      <c r="S367">
        <v>1</v>
      </c>
      <c r="T367">
        <v>678.38</v>
      </c>
      <c r="U367">
        <v>4</v>
      </c>
      <c r="V367">
        <v>678.38</v>
      </c>
    </row>
    <row r="368" spans="1:22" x14ac:dyDescent="0.25">
      <c r="A368" t="s">
        <v>1443</v>
      </c>
      <c r="B368" s="1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  <c r="O368" t="str">
        <f>IF(OR($N368&lt;EDA_Summary!$B$14,$N368&gt;EDA_Summary!$B$15), "Outlier", "Normal")</f>
        <v>Normal</v>
      </c>
      <c r="S368">
        <v>3</v>
      </c>
      <c r="T368">
        <v>602.24</v>
      </c>
      <c r="U368">
        <v>8</v>
      </c>
      <c r="V368">
        <v>1806.72</v>
      </c>
    </row>
    <row r="369" spans="1:22" x14ac:dyDescent="0.25">
      <c r="A369" t="s">
        <v>1447</v>
      </c>
      <c r="B369" s="1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  <c r="O369" t="str">
        <f>IF(OR($N369&lt;EDA_Summary!$B$14,$N369&gt;EDA_Summary!$B$15), "Outlier", "Normal")</f>
        <v>Normal</v>
      </c>
      <c r="S369">
        <v>5</v>
      </c>
      <c r="T369">
        <v>658.77</v>
      </c>
      <c r="U369">
        <v>10</v>
      </c>
      <c r="V369">
        <v>3293.85</v>
      </c>
    </row>
    <row r="370" spans="1:22" x14ac:dyDescent="0.25">
      <c r="A370" t="s">
        <v>1450</v>
      </c>
      <c r="B370" s="1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  <c r="O370" t="str">
        <f>IF(OR($N370&lt;EDA_Summary!$B$14,$N370&gt;EDA_Summary!$B$15), "Outlier", "Normal")</f>
        <v>Normal</v>
      </c>
      <c r="S370">
        <v>3</v>
      </c>
      <c r="T370">
        <v>271.02</v>
      </c>
      <c r="U370">
        <v>6</v>
      </c>
      <c r="V370">
        <v>813.06</v>
      </c>
    </row>
    <row r="371" spans="1:22" x14ac:dyDescent="0.25">
      <c r="A371" t="s">
        <v>1454</v>
      </c>
      <c r="B371" s="1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  <c r="O371" t="str">
        <f>IF(OR($N371&lt;EDA_Summary!$B$14,$N371&gt;EDA_Summary!$B$15), "Outlier", "Normal")</f>
        <v>Normal</v>
      </c>
      <c r="S371">
        <v>5</v>
      </c>
      <c r="T371">
        <v>375.25</v>
      </c>
      <c r="U371">
        <v>9</v>
      </c>
      <c r="V371">
        <v>1876.25</v>
      </c>
    </row>
    <row r="372" spans="1:22" x14ac:dyDescent="0.25">
      <c r="A372" t="s">
        <v>1458</v>
      </c>
      <c r="B372" s="1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  <c r="O372" t="str">
        <f>IF(OR($N372&lt;EDA_Summary!$B$14,$N372&gt;EDA_Summary!$B$15), "Outlier", "Normal")</f>
        <v>Normal</v>
      </c>
      <c r="S372">
        <v>1</v>
      </c>
      <c r="T372">
        <v>312.11</v>
      </c>
      <c r="U372">
        <v>4</v>
      </c>
      <c r="V372">
        <v>312.11</v>
      </c>
    </row>
    <row r="373" spans="1:22" x14ac:dyDescent="0.25">
      <c r="A373" t="s">
        <v>1462</v>
      </c>
      <c r="B373" s="1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  <c r="O373" t="str">
        <f>IF(OR($N373&lt;EDA_Summary!$B$14,$N373&gt;EDA_Summary!$B$15), "Outlier", "Normal")</f>
        <v>Normal</v>
      </c>
      <c r="S373">
        <v>5</v>
      </c>
      <c r="T373">
        <v>307.76</v>
      </c>
      <c r="U373">
        <v>9</v>
      </c>
      <c r="V373">
        <v>1538.8</v>
      </c>
    </row>
    <row r="374" spans="1:22" x14ac:dyDescent="0.25">
      <c r="A374" t="s">
        <v>1465</v>
      </c>
      <c r="B374" s="1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  <c r="O374" t="str">
        <f>IF(OR($N374&lt;EDA_Summary!$B$14,$N374&gt;EDA_Summary!$B$15), "Outlier", "Normal")</f>
        <v>Normal</v>
      </c>
      <c r="S374">
        <v>3</v>
      </c>
      <c r="T374">
        <v>483.53</v>
      </c>
      <c r="U374">
        <v>4</v>
      </c>
      <c r="V374">
        <v>1450.59</v>
      </c>
    </row>
    <row r="375" spans="1:22" x14ac:dyDescent="0.25">
      <c r="A375" t="s">
        <v>1469</v>
      </c>
      <c r="B375" s="1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  <c r="O375" t="str">
        <f>IF(OR($N375&lt;EDA_Summary!$B$14,$N375&gt;EDA_Summary!$B$15), "Outlier", "Normal")</f>
        <v>Normal</v>
      </c>
      <c r="S375">
        <v>3</v>
      </c>
      <c r="T375">
        <v>341.15</v>
      </c>
      <c r="U375">
        <v>4</v>
      </c>
      <c r="V375">
        <v>1023.45</v>
      </c>
    </row>
    <row r="376" spans="1:22" x14ac:dyDescent="0.25">
      <c r="A376" t="s">
        <v>1473</v>
      </c>
      <c r="B376" s="1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  <c r="O376" t="str">
        <f>IF(OR($N376&lt;EDA_Summary!$B$14,$N376&gt;EDA_Summary!$B$15), "Outlier", "Normal")</f>
        <v>Normal</v>
      </c>
      <c r="S376">
        <v>1</v>
      </c>
      <c r="T376">
        <v>571.9</v>
      </c>
      <c r="U376">
        <v>1</v>
      </c>
      <c r="V376">
        <v>571.9</v>
      </c>
    </row>
    <row r="377" spans="1:22" x14ac:dyDescent="0.25">
      <c r="A377" t="s">
        <v>1476</v>
      </c>
      <c r="B377" s="1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  <c r="O377" t="str">
        <f>IF(OR($N377&lt;EDA_Summary!$B$14,$N377&gt;EDA_Summary!$B$15), "Outlier", "Normal")</f>
        <v>Normal</v>
      </c>
      <c r="S377">
        <v>4</v>
      </c>
      <c r="T377">
        <v>95.03</v>
      </c>
      <c r="U377">
        <v>8</v>
      </c>
      <c r="V377">
        <v>380.12</v>
      </c>
    </row>
    <row r="378" spans="1:22" x14ac:dyDescent="0.25">
      <c r="A378" t="s">
        <v>1480</v>
      </c>
      <c r="B378" s="1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  <c r="O378" t="str">
        <f>IF(OR($N378&lt;EDA_Summary!$B$14,$N378&gt;EDA_Summary!$B$15), "Outlier", "Normal")</f>
        <v>Normal</v>
      </c>
      <c r="S378">
        <v>5</v>
      </c>
      <c r="T378">
        <v>201.22</v>
      </c>
      <c r="U378">
        <v>6</v>
      </c>
      <c r="V378">
        <v>1006.1</v>
      </c>
    </row>
    <row r="379" spans="1:22" x14ac:dyDescent="0.25">
      <c r="A379" t="s">
        <v>1484</v>
      </c>
      <c r="B379" s="1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  <c r="O379" t="str">
        <f>IF(OR($N379&lt;EDA_Summary!$B$14,$N379&gt;EDA_Summary!$B$15), "Outlier", "Normal")</f>
        <v>Normal</v>
      </c>
      <c r="S379">
        <v>1</v>
      </c>
      <c r="T379">
        <v>260.26</v>
      </c>
      <c r="U379">
        <v>5</v>
      </c>
      <c r="V379">
        <v>260.26</v>
      </c>
    </row>
    <row r="380" spans="1:22" x14ac:dyDescent="0.25">
      <c r="A380" t="s">
        <v>1487</v>
      </c>
      <c r="B380" s="1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  <c r="O380" t="str">
        <f>IF(OR($N380&lt;EDA_Summary!$B$14,$N380&gt;EDA_Summary!$B$15), "Outlier", "Normal")</f>
        <v>Normal</v>
      </c>
      <c r="S380">
        <v>5</v>
      </c>
      <c r="T380">
        <v>64.5</v>
      </c>
      <c r="U380">
        <v>8</v>
      </c>
      <c r="V380">
        <v>322.5</v>
      </c>
    </row>
    <row r="381" spans="1:22" x14ac:dyDescent="0.25">
      <c r="A381" t="s">
        <v>1491</v>
      </c>
      <c r="B381" s="1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  <c r="O381" t="str">
        <f>IF(OR($N381&lt;EDA_Summary!$B$14,$N381&gt;EDA_Summary!$B$15), "Outlier", "Normal")</f>
        <v>Normal</v>
      </c>
      <c r="S381">
        <v>3</v>
      </c>
      <c r="T381">
        <v>297.67</v>
      </c>
      <c r="U381">
        <v>6</v>
      </c>
      <c r="V381">
        <v>893.01</v>
      </c>
    </row>
    <row r="382" spans="1:22" x14ac:dyDescent="0.25">
      <c r="A382" t="s">
        <v>1494</v>
      </c>
      <c r="B382" s="1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  <c r="O382" t="str">
        <f>IF(OR($N382&lt;EDA_Summary!$B$14,$N382&gt;EDA_Summary!$B$15), "Outlier", "Normal")</f>
        <v>Normal</v>
      </c>
      <c r="S382">
        <v>4</v>
      </c>
      <c r="T382">
        <v>331.9</v>
      </c>
      <c r="U382">
        <v>5</v>
      </c>
      <c r="V382">
        <v>1327.6</v>
      </c>
    </row>
    <row r="383" spans="1:22" x14ac:dyDescent="0.25">
      <c r="A383" t="s">
        <v>1497</v>
      </c>
      <c r="B383" s="1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  <c r="O383" t="str">
        <f>IF(OR($N383&lt;EDA_Summary!$B$14,$N383&gt;EDA_Summary!$B$15), "Outlier", "Normal")</f>
        <v>Normal</v>
      </c>
      <c r="S383">
        <v>1</v>
      </c>
      <c r="T383">
        <v>191.76</v>
      </c>
      <c r="U383">
        <v>1</v>
      </c>
      <c r="V383">
        <v>191.76</v>
      </c>
    </row>
    <row r="384" spans="1:22" x14ac:dyDescent="0.25">
      <c r="A384" t="s">
        <v>1500</v>
      </c>
      <c r="B384" s="1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  <c r="O384" t="str">
        <f>IF(OR($N384&lt;EDA_Summary!$B$14,$N384&gt;EDA_Summary!$B$15), "Outlier", "Normal")</f>
        <v>Normal</v>
      </c>
      <c r="S384">
        <v>4</v>
      </c>
      <c r="T384">
        <v>263.08999999999997</v>
      </c>
      <c r="U384">
        <v>8</v>
      </c>
      <c r="V384">
        <v>1052.3599999999999</v>
      </c>
    </row>
    <row r="385" spans="1:22" x14ac:dyDescent="0.25">
      <c r="A385" t="s">
        <v>1504</v>
      </c>
      <c r="B385" s="1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  <c r="O385" t="str">
        <f>IF(OR($N385&lt;EDA_Summary!$B$14,$N385&gt;EDA_Summary!$B$15), "Outlier", "Normal")</f>
        <v>Normal</v>
      </c>
      <c r="S385">
        <v>4</v>
      </c>
      <c r="T385">
        <v>393.8</v>
      </c>
      <c r="U385">
        <v>7</v>
      </c>
      <c r="V385">
        <v>1575.2</v>
      </c>
    </row>
    <row r="386" spans="1:22" x14ac:dyDescent="0.25">
      <c r="A386" t="s">
        <v>1507</v>
      </c>
      <c r="B386" s="1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  <c r="O386" t="str">
        <f>IF(OR($N386&lt;EDA_Summary!$B$14,$N386&gt;EDA_Summary!$B$15), "Outlier", "Normal")</f>
        <v>Normal</v>
      </c>
      <c r="S386">
        <v>3</v>
      </c>
      <c r="T386">
        <v>553.57000000000005</v>
      </c>
      <c r="U386">
        <v>4</v>
      </c>
      <c r="V386">
        <v>1660.71</v>
      </c>
    </row>
    <row r="387" spans="1:22" x14ac:dyDescent="0.25">
      <c r="A387" t="s">
        <v>1511</v>
      </c>
      <c r="B387" s="1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  <c r="O387" t="str">
        <f>IF(OR($N387&lt;EDA_Summary!$B$14,$N387&gt;EDA_Summary!$B$15), "Outlier", "Normal")</f>
        <v>Normal</v>
      </c>
      <c r="S387">
        <v>5</v>
      </c>
      <c r="T387">
        <v>191.63</v>
      </c>
      <c r="U387">
        <v>6</v>
      </c>
      <c r="V387">
        <v>958.15</v>
      </c>
    </row>
    <row r="388" spans="1:22" x14ac:dyDescent="0.25">
      <c r="A388" t="s">
        <v>1514</v>
      </c>
      <c r="B388" s="1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  <c r="O388" t="str">
        <f>IF(OR($N388&lt;EDA_Summary!$B$14,$N388&gt;EDA_Summary!$B$15), "Outlier", "Normal")</f>
        <v>Normal</v>
      </c>
      <c r="S388">
        <v>1</v>
      </c>
      <c r="T388">
        <v>93.02</v>
      </c>
      <c r="U388">
        <v>4</v>
      </c>
      <c r="V388">
        <v>93.02</v>
      </c>
    </row>
    <row r="389" spans="1:22" x14ac:dyDescent="0.25">
      <c r="A389" t="s">
        <v>1518</v>
      </c>
      <c r="B389" s="1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  <c r="O389" t="str">
        <f>IF(OR($N389&lt;EDA_Summary!$B$14,$N389&gt;EDA_Summary!$B$15), "Outlier", "Normal")</f>
        <v>Normal</v>
      </c>
      <c r="S389">
        <v>2</v>
      </c>
      <c r="T389">
        <v>39.53</v>
      </c>
      <c r="U389">
        <v>3</v>
      </c>
      <c r="V389">
        <v>79.06</v>
      </c>
    </row>
    <row r="390" spans="1:22" x14ac:dyDescent="0.25">
      <c r="A390" t="s">
        <v>1521</v>
      </c>
      <c r="B390" s="1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  <c r="O390" t="str">
        <f>IF(OR($N390&lt;EDA_Summary!$B$14,$N390&gt;EDA_Summary!$B$15), "Outlier", "Normal")</f>
        <v>Normal</v>
      </c>
      <c r="S390">
        <v>3</v>
      </c>
      <c r="T390">
        <v>633.97</v>
      </c>
      <c r="U390">
        <v>7</v>
      </c>
      <c r="V390">
        <v>1901.91</v>
      </c>
    </row>
    <row r="391" spans="1:22" x14ac:dyDescent="0.25">
      <c r="A391" t="s">
        <v>1524</v>
      </c>
      <c r="B391" s="1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  <c r="O391" t="str">
        <f>IF(OR($N391&lt;EDA_Summary!$B$14,$N391&gt;EDA_Summary!$B$15), "Outlier", "Normal")</f>
        <v>Normal</v>
      </c>
      <c r="S391">
        <v>4</v>
      </c>
      <c r="T391">
        <v>697.5</v>
      </c>
      <c r="U391">
        <v>7</v>
      </c>
      <c r="V391">
        <v>2790</v>
      </c>
    </row>
    <row r="392" spans="1:22" x14ac:dyDescent="0.25">
      <c r="A392" t="s">
        <v>1528</v>
      </c>
      <c r="B392" s="1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  <c r="O392" t="str">
        <f>IF(OR($N392&lt;EDA_Summary!$B$14,$N392&gt;EDA_Summary!$B$15), "Outlier", "Normal")</f>
        <v>Normal</v>
      </c>
      <c r="S392">
        <v>5</v>
      </c>
      <c r="T392">
        <v>508.69</v>
      </c>
      <c r="U392">
        <v>10</v>
      </c>
      <c r="V392">
        <v>2543.4499999999998</v>
      </c>
    </row>
    <row r="393" spans="1:22" x14ac:dyDescent="0.25">
      <c r="A393" t="s">
        <v>1531</v>
      </c>
      <c r="B393" s="1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  <c r="O393" t="str">
        <f>IF(OR($N393&lt;EDA_Summary!$B$14,$N393&gt;EDA_Summary!$B$15), "Outlier", "Normal")</f>
        <v>Normal</v>
      </c>
      <c r="S393">
        <v>2</v>
      </c>
      <c r="T393">
        <v>527.46</v>
      </c>
      <c r="U393">
        <v>3</v>
      </c>
      <c r="V393">
        <v>1054.92</v>
      </c>
    </row>
    <row r="394" spans="1:22" x14ac:dyDescent="0.25">
      <c r="A394" t="s">
        <v>1534</v>
      </c>
      <c r="B394" s="1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  <c r="O394" t="str">
        <f>IF(OR($N394&lt;EDA_Summary!$B$14,$N394&gt;EDA_Summary!$B$15), "Outlier", "Normal")</f>
        <v>Normal</v>
      </c>
      <c r="S394">
        <v>1</v>
      </c>
      <c r="T394">
        <v>627.20000000000005</v>
      </c>
      <c r="U394">
        <v>1</v>
      </c>
      <c r="V394">
        <v>627.20000000000005</v>
      </c>
    </row>
    <row r="395" spans="1:22" x14ac:dyDescent="0.25">
      <c r="A395" t="s">
        <v>1537</v>
      </c>
      <c r="B395" s="1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  <c r="O395" t="str">
        <f>IF(OR($N395&lt;EDA_Summary!$B$14,$N395&gt;EDA_Summary!$B$15), "Outlier", "Normal")</f>
        <v>Normal</v>
      </c>
      <c r="S395">
        <v>1</v>
      </c>
      <c r="T395">
        <v>75.010000000000005</v>
      </c>
      <c r="U395">
        <v>3</v>
      </c>
      <c r="V395">
        <v>75.010000000000005</v>
      </c>
    </row>
    <row r="396" spans="1:22" x14ac:dyDescent="0.25">
      <c r="A396" t="s">
        <v>1541</v>
      </c>
      <c r="B396" s="1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  <c r="O396" t="str">
        <f>IF(OR($N396&lt;EDA_Summary!$B$14,$N396&gt;EDA_Summary!$B$15), "Outlier", "Normal")</f>
        <v>Normal</v>
      </c>
      <c r="S396">
        <v>5</v>
      </c>
      <c r="T396">
        <v>529.54999999999995</v>
      </c>
      <c r="U396">
        <v>10</v>
      </c>
      <c r="V396">
        <v>2647.75</v>
      </c>
    </row>
    <row r="397" spans="1:22" x14ac:dyDescent="0.25">
      <c r="A397" t="s">
        <v>1545</v>
      </c>
      <c r="B397" s="1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  <c r="O397" t="str">
        <f>IF(OR($N397&lt;EDA_Summary!$B$14,$N397&gt;EDA_Summary!$B$15), "Outlier", "Normal")</f>
        <v>Normal</v>
      </c>
      <c r="S397">
        <v>3</v>
      </c>
      <c r="T397">
        <v>127.41</v>
      </c>
      <c r="U397">
        <v>7</v>
      </c>
      <c r="V397">
        <v>382.23</v>
      </c>
    </row>
    <row r="398" spans="1:22" x14ac:dyDescent="0.25">
      <c r="A398" t="s">
        <v>1548</v>
      </c>
      <c r="B398" s="1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  <c r="O398" t="str">
        <f>IF(OR($N398&lt;EDA_Summary!$B$14,$N398&gt;EDA_Summary!$B$15), "Outlier", "Normal")</f>
        <v>Normal</v>
      </c>
      <c r="S398">
        <v>5</v>
      </c>
      <c r="T398">
        <v>287.13</v>
      </c>
      <c r="U398">
        <v>10</v>
      </c>
      <c r="V398">
        <v>1435.65</v>
      </c>
    </row>
    <row r="399" spans="1:22" x14ac:dyDescent="0.25">
      <c r="A399" t="s">
        <v>1552</v>
      </c>
      <c r="B399" s="1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  <c r="O399" t="str">
        <f>IF(OR($N399&lt;EDA_Summary!$B$14,$N399&gt;EDA_Summary!$B$15), "Outlier", "Normal")</f>
        <v>Normal</v>
      </c>
      <c r="S399">
        <v>1</v>
      </c>
      <c r="T399">
        <v>427.06</v>
      </c>
      <c r="U399">
        <v>1</v>
      </c>
      <c r="V399">
        <v>427.06</v>
      </c>
    </row>
    <row r="400" spans="1:22" x14ac:dyDescent="0.25">
      <c r="A400" t="s">
        <v>1556</v>
      </c>
      <c r="B400" s="1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  <c r="O400" t="str">
        <f>IF(OR($N400&lt;EDA_Summary!$B$14,$N400&gt;EDA_Summary!$B$15), "Outlier", "Normal")</f>
        <v>Normal</v>
      </c>
      <c r="S400">
        <v>5</v>
      </c>
      <c r="T400">
        <v>53.93</v>
      </c>
      <c r="U400">
        <v>7</v>
      </c>
      <c r="V400">
        <v>269.64999999999998</v>
      </c>
    </row>
    <row r="401" spans="1:22" x14ac:dyDescent="0.25">
      <c r="A401" t="s">
        <v>1559</v>
      </c>
      <c r="B401" s="1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  <c r="O401" t="str">
        <f>IF(OR($N401&lt;EDA_Summary!$B$14,$N401&gt;EDA_Summary!$B$15), "Outlier", "Normal")</f>
        <v>Normal</v>
      </c>
      <c r="S401">
        <v>5</v>
      </c>
      <c r="T401">
        <v>423.93</v>
      </c>
      <c r="U401">
        <v>5</v>
      </c>
      <c r="V401">
        <v>2119.65</v>
      </c>
    </row>
    <row r="402" spans="1:22" x14ac:dyDescent="0.25">
      <c r="A402" t="s">
        <v>1563</v>
      </c>
      <c r="B402" s="1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  <c r="O402" t="str">
        <f>IF(OR($N402&lt;EDA_Summary!$B$14,$N402&gt;EDA_Summary!$B$15), "Outlier", "Normal")</f>
        <v>Normal</v>
      </c>
      <c r="S402">
        <v>4</v>
      </c>
      <c r="T402">
        <v>160.22</v>
      </c>
      <c r="U402">
        <v>9</v>
      </c>
      <c r="V402">
        <v>640.88</v>
      </c>
    </row>
    <row r="403" spans="1:22" x14ac:dyDescent="0.25">
      <c r="A403" t="s">
        <v>1567</v>
      </c>
      <c r="B403" s="1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  <c r="O403" t="str">
        <f>IF(OR($N403&lt;EDA_Summary!$B$14,$N403&gt;EDA_Summary!$B$15), "Outlier", "Normal")</f>
        <v>Normal</v>
      </c>
      <c r="S403">
        <v>1</v>
      </c>
      <c r="T403">
        <v>538.67999999999995</v>
      </c>
      <c r="U403">
        <v>6</v>
      </c>
      <c r="V403">
        <v>538.67999999999995</v>
      </c>
    </row>
    <row r="404" spans="1:22" x14ac:dyDescent="0.25">
      <c r="A404" t="s">
        <v>1570</v>
      </c>
      <c r="B404" s="1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  <c r="O404" t="str">
        <f>IF(OR($N404&lt;EDA_Summary!$B$14,$N404&gt;EDA_Summary!$B$15), "Outlier", "Normal")</f>
        <v>Normal</v>
      </c>
      <c r="S404">
        <v>5</v>
      </c>
      <c r="T404">
        <v>337.38</v>
      </c>
      <c r="U404">
        <v>5</v>
      </c>
      <c r="V404">
        <v>1686.9</v>
      </c>
    </row>
    <row r="405" spans="1:22" x14ac:dyDescent="0.25">
      <c r="A405" t="s">
        <v>1574</v>
      </c>
      <c r="B405" s="1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  <c r="O405" t="str">
        <f>IF(OR($N405&lt;EDA_Summary!$B$14,$N405&gt;EDA_Summary!$B$15), "Outlier", "Normal")</f>
        <v>Normal</v>
      </c>
      <c r="S405">
        <v>1</v>
      </c>
      <c r="T405">
        <v>620.21</v>
      </c>
      <c r="U405">
        <v>1</v>
      </c>
      <c r="V405">
        <v>620.21</v>
      </c>
    </row>
    <row r="406" spans="1:22" x14ac:dyDescent="0.25">
      <c r="A406" t="s">
        <v>1577</v>
      </c>
      <c r="B406" s="1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  <c r="O406" t="str">
        <f>IF(OR($N406&lt;EDA_Summary!$B$14,$N406&gt;EDA_Summary!$B$15), "Outlier", "Normal")</f>
        <v>Normal</v>
      </c>
      <c r="S406">
        <v>2</v>
      </c>
      <c r="T406">
        <v>99.1</v>
      </c>
      <c r="U406">
        <v>6</v>
      </c>
      <c r="V406">
        <v>198.2</v>
      </c>
    </row>
    <row r="407" spans="1:22" x14ac:dyDescent="0.25">
      <c r="A407" t="s">
        <v>1580</v>
      </c>
      <c r="B407" s="1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  <c r="O407" t="str">
        <f>IF(OR($N407&lt;EDA_Summary!$B$14,$N407&gt;EDA_Summary!$B$15), "Outlier", "Normal")</f>
        <v>Normal</v>
      </c>
      <c r="S407">
        <v>4</v>
      </c>
      <c r="T407">
        <v>451.97</v>
      </c>
      <c r="U407">
        <v>7</v>
      </c>
      <c r="V407">
        <v>1807.88</v>
      </c>
    </row>
    <row r="408" spans="1:22" x14ac:dyDescent="0.25">
      <c r="A408" t="s">
        <v>1583</v>
      </c>
      <c r="B408" s="1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  <c r="O408" t="str">
        <f>IF(OR($N408&lt;EDA_Summary!$B$14,$N408&gt;EDA_Summary!$B$15), "Outlier", "Normal")</f>
        <v>Normal</v>
      </c>
      <c r="S408">
        <v>4</v>
      </c>
      <c r="T408">
        <v>66.099999999999994</v>
      </c>
      <c r="U408">
        <v>9</v>
      </c>
      <c r="V408">
        <v>264.39999999999998</v>
      </c>
    </row>
    <row r="409" spans="1:22" x14ac:dyDescent="0.25">
      <c r="A409" t="s">
        <v>1586</v>
      </c>
      <c r="B409" s="1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  <c r="O409" t="str">
        <f>IF(OR($N409&lt;EDA_Summary!$B$14,$N409&gt;EDA_Summary!$B$15), "Outlier", "Normal")</f>
        <v>Normal</v>
      </c>
      <c r="S409">
        <v>4</v>
      </c>
      <c r="T409">
        <v>547.32000000000005</v>
      </c>
      <c r="U409">
        <v>8</v>
      </c>
      <c r="V409">
        <v>2189.2800000000002</v>
      </c>
    </row>
    <row r="410" spans="1:22" x14ac:dyDescent="0.25">
      <c r="A410" t="s">
        <v>1589</v>
      </c>
      <c r="B410" s="1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  <c r="O410" t="str">
        <f>IF(OR($N410&lt;EDA_Summary!$B$14,$N410&gt;EDA_Summary!$B$15), "Outlier", "Normal")</f>
        <v>Normal</v>
      </c>
      <c r="S410">
        <v>3</v>
      </c>
      <c r="T410">
        <v>412.53</v>
      </c>
      <c r="U410">
        <v>6</v>
      </c>
      <c r="V410">
        <v>1237.5899999999999</v>
      </c>
    </row>
    <row r="411" spans="1:22" x14ac:dyDescent="0.25">
      <c r="A411" t="s">
        <v>1593</v>
      </c>
      <c r="B411" s="1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  <c r="O411" t="str">
        <f>IF(OR($N411&lt;EDA_Summary!$B$14,$N411&gt;EDA_Summary!$B$15), "Outlier", "Normal")</f>
        <v>Normal</v>
      </c>
      <c r="S411">
        <v>5</v>
      </c>
      <c r="T411">
        <v>84.13</v>
      </c>
      <c r="U411">
        <v>9</v>
      </c>
      <c r="V411">
        <v>420.65</v>
      </c>
    </row>
    <row r="412" spans="1:22" x14ac:dyDescent="0.25">
      <c r="A412" t="s">
        <v>1597</v>
      </c>
      <c r="B412" s="1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  <c r="O412" t="str">
        <f>IF(OR($N412&lt;EDA_Summary!$B$14,$N412&gt;EDA_Summary!$B$15), "Outlier", "Normal")</f>
        <v>Normal</v>
      </c>
      <c r="S412">
        <v>2</v>
      </c>
      <c r="T412">
        <v>518.23</v>
      </c>
      <c r="U412">
        <v>5</v>
      </c>
      <c r="V412">
        <v>1036.46</v>
      </c>
    </row>
    <row r="413" spans="1:22" x14ac:dyDescent="0.25">
      <c r="A413" t="s">
        <v>1601</v>
      </c>
      <c r="B413" s="1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  <c r="O413" t="str">
        <f>IF(OR($N413&lt;EDA_Summary!$B$14,$N413&gt;EDA_Summary!$B$15), "Outlier", "Normal")</f>
        <v>Normal</v>
      </c>
      <c r="S413">
        <v>2</v>
      </c>
      <c r="T413">
        <v>39.51</v>
      </c>
      <c r="U413">
        <v>5</v>
      </c>
      <c r="V413">
        <v>79.02</v>
      </c>
    </row>
    <row r="414" spans="1:22" x14ac:dyDescent="0.25">
      <c r="A414" t="s">
        <v>1604</v>
      </c>
      <c r="B414" s="1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  <c r="O414" t="str">
        <f>IF(OR($N414&lt;EDA_Summary!$B$14,$N414&gt;EDA_Summary!$B$15), "Outlier", "Normal")</f>
        <v>Normal</v>
      </c>
      <c r="S414">
        <v>5</v>
      </c>
      <c r="T414">
        <v>133.01</v>
      </c>
      <c r="U414">
        <v>10</v>
      </c>
      <c r="V414">
        <v>665.05</v>
      </c>
    </row>
    <row r="415" spans="1:22" x14ac:dyDescent="0.25">
      <c r="A415" t="s">
        <v>1608</v>
      </c>
      <c r="B415" s="1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  <c r="O415" t="str">
        <f>IF(OR($N415&lt;EDA_Summary!$B$14,$N415&gt;EDA_Summary!$B$15), "Outlier", "Normal")</f>
        <v>Normal</v>
      </c>
      <c r="S415">
        <v>1</v>
      </c>
      <c r="T415">
        <v>118.8</v>
      </c>
      <c r="U415">
        <v>6</v>
      </c>
      <c r="V415">
        <v>118.8</v>
      </c>
    </row>
    <row r="416" spans="1:22" x14ac:dyDescent="0.25">
      <c r="A416" t="s">
        <v>1612</v>
      </c>
      <c r="B416" s="1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  <c r="O416" t="str">
        <f>IF(OR($N416&lt;EDA_Summary!$B$14,$N416&gt;EDA_Summary!$B$15), "Outlier", "Normal")</f>
        <v>Normal</v>
      </c>
      <c r="S416">
        <v>2</v>
      </c>
      <c r="T416">
        <v>139.57</v>
      </c>
      <c r="U416">
        <v>4</v>
      </c>
      <c r="V416">
        <v>279.14</v>
      </c>
    </row>
    <row r="417" spans="1:22" x14ac:dyDescent="0.25">
      <c r="A417" t="s">
        <v>1616</v>
      </c>
      <c r="B417" s="1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  <c r="O417" t="str">
        <f>IF(OR($N417&lt;EDA_Summary!$B$14,$N417&gt;EDA_Summary!$B$15), "Outlier", "Normal")</f>
        <v>Normal</v>
      </c>
      <c r="S417">
        <v>1</v>
      </c>
      <c r="T417">
        <v>184.15</v>
      </c>
      <c r="U417">
        <v>5</v>
      </c>
      <c r="V417">
        <v>184.15</v>
      </c>
    </row>
    <row r="418" spans="1:22" x14ac:dyDescent="0.25">
      <c r="A418" t="s">
        <v>1619</v>
      </c>
      <c r="B418" s="1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  <c r="O418" t="str">
        <f>IF(OR($N418&lt;EDA_Summary!$B$14,$N418&gt;EDA_Summary!$B$15), "Outlier", "Normal")</f>
        <v>Normal</v>
      </c>
      <c r="S418">
        <v>2</v>
      </c>
      <c r="T418">
        <v>644.04999999999995</v>
      </c>
      <c r="U418">
        <v>5</v>
      </c>
      <c r="V418">
        <v>1288.0999999999999</v>
      </c>
    </row>
    <row r="419" spans="1:22" x14ac:dyDescent="0.25">
      <c r="A419" t="s">
        <v>1623</v>
      </c>
      <c r="B419" s="1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  <c r="O419" t="str">
        <f>IF(OR($N419&lt;EDA_Summary!$B$14,$N419&gt;EDA_Summary!$B$15), "Outlier", "Normal")</f>
        <v>Normal</v>
      </c>
      <c r="S419">
        <v>5</v>
      </c>
      <c r="T419">
        <v>55.41</v>
      </c>
      <c r="U419">
        <v>5</v>
      </c>
      <c r="V419">
        <v>277.05</v>
      </c>
    </row>
    <row r="420" spans="1:22" x14ac:dyDescent="0.25">
      <c r="A420" t="s">
        <v>1627</v>
      </c>
      <c r="B420" s="1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  <c r="O420" t="str">
        <f>IF(OR($N420&lt;EDA_Summary!$B$14,$N420&gt;EDA_Summary!$B$15), "Outlier", "Normal")</f>
        <v>Normal</v>
      </c>
      <c r="S420">
        <v>1</v>
      </c>
      <c r="T420">
        <v>310.93</v>
      </c>
      <c r="U420">
        <v>3</v>
      </c>
      <c r="V420">
        <v>310.93</v>
      </c>
    </row>
    <row r="421" spans="1:22" x14ac:dyDescent="0.25">
      <c r="A421" t="s">
        <v>1631</v>
      </c>
      <c r="B421" s="1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  <c r="O421" t="str">
        <f>IF(OR($N421&lt;EDA_Summary!$B$14,$N421&gt;EDA_Summary!$B$15), "Outlier", "Normal")</f>
        <v>Normal</v>
      </c>
      <c r="S421">
        <v>2</v>
      </c>
      <c r="T421">
        <v>216.66</v>
      </c>
      <c r="U421">
        <v>6</v>
      </c>
      <c r="V421">
        <v>433.32</v>
      </c>
    </row>
    <row r="422" spans="1:22" x14ac:dyDescent="0.25">
      <c r="A422" t="s">
        <v>1634</v>
      </c>
      <c r="B422" s="1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  <c r="O422" t="str">
        <f>IF(OR($N422&lt;EDA_Summary!$B$14,$N422&gt;EDA_Summary!$B$15), "Outlier", "Normal")</f>
        <v>Normal</v>
      </c>
      <c r="S422">
        <v>1</v>
      </c>
      <c r="T422">
        <v>452.7</v>
      </c>
      <c r="U422">
        <v>5</v>
      </c>
      <c r="V422">
        <v>452.7</v>
      </c>
    </row>
    <row r="423" spans="1:22" x14ac:dyDescent="0.25">
      <c r="A423" t="s">
        <v>1638</v>
      </c>
      <c r="B423" s="1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  <c r="O423" t="str">
        <f>IF(OR($N423&lt;EDA_Summary!$B$14,$N423&gt;EDA_Summary!$B$15), "Outlier", "Normal")</f>
        <v>Normal</v>
      </c>
      <c r="S423">
        <v>2</v>
      </c>
      <c r="T423">
        <v>288.20999999999998</v>
      </c>
      <c r="U423">
        <v>5</v>
      </c>
      <c r="V423">
        <v>576.41999999999996</v>
      </c>
    </row>
    <row r="424" spans="1:22" x14ac:dyDescent="0.25">
      <c r="A424" t="s">
        <v>1642</v>
      </c>
      <c r="B424" s="1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  <c r="O424" t="str">
        <f>IF(OR($N424&lt;EDA_Summary!$B$14,$N424&gt;EDA_Summary!$B$15), "Outlier", "Normal")</f>
        <v>Normal</v>
      </c>
      <c r="S424">
        <v>4</v>
      </c>
      <c r="T424">
        <v>206.6</v>
      </c>
      <c r="U424">
        <v>6</v>
      </c>
      <c r="V424">
        <v>826.4</v>
      </c>
    </row>
    <row r="425" spans="1:22" x14ac:dyDescent="0.25">
      <c r="A425" t="s">
        <v>1645</v>
      </c>
      <c r="B425" s="1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  <c r="O425" t="str">
        <f>IF(OR($N425&lt;EDA_Summary!$B$14,$N425&gt;EDA_Summary!$B$15), "Outlier", "Normal")</f>
        <v>Normal</v>
      </c>
      <c r="S425">
        <v>4</v>
      </c>
      <c r="T425">
        <v>685.2</v>
      </c>
      <c r="U425">
        <v>6</v>
      </c>
      <c r="V425">
        <v>2740.8</v>
      </c>
    </row>
    <row r="426" spans="1:22" x14ac:dyDescent="0.25">
      <c r="A426" t="s">
        <v>1648</v>
      </c>
      <c r="B426" s="1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  <c r="O426" t="str">
        <f>IF(OR($N426&lt;EDA_Summary!$B$14,$N426&gt;EDA_Summary!$B$15), "Outlier", "Normal")</f>
        <v>Normal</v>
      </c>
      <c r="S426">
        <v>5</v>
      </c>
      <c r="T426">
        <v>22.94</v>
      </c>
      <c r="U426">
        <v>10</v>
      </c>
      <c r="V426">
        <v>114.7</v>
      </c>
    </row>
    <row r="427" spans="1:22" x14ac:dyDescent="0.25">
      <c r="A427" t="s">
        <v>1651</v>
      </c>
      <c r="B427" s="1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  <c r="O427" t="str">
        <f>IF(OR($N427&lt;EDA_Summary!$B$14,$N427&gt;EDA_Summary!$B$15), "Outlier", "Normal")</f>
        <v>Normal</v>
      </c>
      <c r="S427">
        <v>2</v>
      </c>
      <c r="T427">
        <v>301.88</v>
      </c>
      <c r="U427">
        <v>5</v>
      </c>
      <c r="V427">
        <v>603.76</v>
      </c>
    </row>
    <row r="428" spans="1:22" x14ac:dyDescent="0.25">
      <c r="A428" t="s">
        <v>1655</v>
      </c>
      <c r="B428" s="1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  <c r="O428" t="str">
        <f>IF(OR($N428&lt;EDA_Summary!$B$14,$N428&gt;EDA_Summary!$B$15), "Outlier", "Normal")</f>
        <v>Normal</v>
      </c>
      <c r="S428">
        <v>5</v>
      </c>
      <c r="T428">
        <v>57.45</v>
      </c>
      <c r="U428">
        <v>10</v>
      </c>
      <c r="V428">
        <v>287.25</v>
      </c>
    </row>
    <row r="429" spans="1:22" x14ac:dyDescent="0.25">
      <c r="A429" t="s">
        <v>1659</v>
      </c>
      <c r="B429" s="1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  <c r="O429" t="str">
        <f>IF(OR($N429&lt;EDA_Summary!$B$14,$N429&gt;EDA_Summary!$B$15), "Outlier", "Normal")</f>
        <v>Normal</v>
      </c>
      <c r="S429">
        <v>1</v>
      </c>
      <c r="T429">
        <v>161.24</v>
      </c>
      <c r="U429">
        <v>3</v>
      </c>
      <c r="V429">
        <v>161.24</v>
      </c>
    </row>
    <row r="430" spans="1:22" x14ac:dyDescent="0.25">
      <c r="A430" t="s">
        <v>1663</v>
      </c>
      <c r="B430" s="1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  <c r="O430" t="str">
        <f>IF(OR($N430&lt;EDA_Summary!$B$14,$N430&gt;EDA_Summary!$B$15), "Outlier", "Normal")</f>
        <v>Normal</v>
      </c>
      <c r="S430">
        <v>4</v>
      </c>
      <c r="T430">
        <v>262.58</v>
      </c>
      <c r="U430">
        <v>8</v>
      </c>
      <c r="V430">
        <v>1050.32</v>
      </c>
    </row>
    <row r="431" spans="1:22" x14ac:dyDescent="0.25">
      <c r="A431" t="s">
        <v>1666</v>
      </c>
      <c r="B431" s="1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  <c r="O431" t="str">
        <f>IF(OR($N431&lt;EDA_Summary!$B$14,$N431&gt;EDA_Summary!$B$15), "Outlier", "Normal")</f>
        <v>Normal</v>
      </c>
      <c r="S431">
        <v>4</v>
      </c>
      <c r="T431">
        <v>515.19000000000005</v>
      </c>
      <c r="U431">
        <v>9</v>
      </c>
      <c r="V431">
        <v>2060.7600000000002</v>
      </c>
    </row>
    <row r="432" spans="1:22" x14ac:dyDescent="0.25">
      <c r="A432" t="s">
        <v>1669</v>
      </c>
      <c r="B432" s="1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  <c r="O432" t="str">
        <f>IF(OR($N432&lt;EDA_Summary!$B$14,$N432&gt;EDA_Summary!$B$15), "Outlier", "Normal")</f>
        <v>Normal</v>
      </c>
      <c r="S432">
        <v>1</v>
      </c>
      <c r="T432">
        <v>450.07</v>
      </c>
      <c r="U432">
        <v>6</v>
      </c>
      <c r="V432">
        <v>450.07</v>
      </c>
    </row>
    <row r="433" spans="1:22" x14ac:dyDescent="0.25">
      <c r="A433" t="s">
        <v>1673</v>
      </c>
      <c r="B433" s="1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  <c r="O433" t="str">
        <f>IF(OR($N433&lt;EDA_Summary!$B$14,$N433&gt;EDA_Summary!$B$15), "Outlier", "Normal")</f>
        <v>Normal</v>
      </c>
      <c r="S433">
        <v>1</v>
      </c>
      <c r="T433">
        <v>52.54</v>
      </c>
      <c r="U433">
        <v>6</v>
      </c>
      <c r="V433">
        <v>52.54</v>
      </c>
    </row>
    <row r="434" spans="1:22" x14ac:dyDescent="0.25">
      <c r="A434" t="s">
        <v>1676</v>
      </c>
      <c r="B434" s="1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  <c r="O434" t="str">
        <f>IF(OR($N434&lt;EDA_Summary!$B$14,$N434&gt;EDA_Summary!$B$15), "Outlier", "Normal")</f>
        <v>Normal</v>
      </c>
      <c r="S434">
        <v>2</v>
      </c>
      <c r="T434">
        <v>424.32</v>
      </c>
      <c r="U434">
        <v>6</v>
      </c>
      <c r="V434">
        <v>848.64</v>
      </c>
    </row>
    <row r="435" spans="1:22" x14ac:dyDescent="0.25">
      <c r="A435" t="s">
        <v>1680</v>
      </c>
      <c r="B435" s="1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  <c r="O435" t="str">
        <f>IF(OR($N435&lt;EDA_Summary!$B$14,$N435&gt;EDA_Summary!$B$15), "Outlier", "Normal")</f>
        <v>Normal</v>
      </c>
      <c r="S435">
        <v>3</v>
      </c>
      <c r="T435">
        <v>631.64</v>
      </c>
      <c r="U435">
        <v>3</v>
      </c>
      <c r="V435">
        <v>1894.92</v>
      </c>
    </row>
    <row r="436" spans="1:22" x14ac:dyDescent="0.25">
      <c r="A436" t="s">
        <v>1683</v>
      </c>
      <c r="B436" s="1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  <c r="O436" t="str">
        <f>IF(OR($N436&lt;EDA_Summary!$B$14,$N436&gt;EDA_Summary!$B$15), "Outlier", "Normal")</f>
        <v>Normal</v>
      </c>
      <c r="S436">
        <v>5</v>
      </c>
      <c r="T436">
        <v>327.68</v>
      </c>
      <c r="U436">
        <v>6</v>
      </c>
      <c r="V436">
        <v>1638.4</v>
      </c>
    </row>
    <row r="437" spans="1:22" x14ac:dyDescent="0.25">
      <c r="A437" t="s">
        <v>1686</v>
      </c>
      <c r="B437" s="1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  <c r="O437" t="str">
        <f>IF(OR($N437&lt;EDA_Summary!$B$14,$N437&gt;EDA_Summary!$B$15), "Outlier", "Normal")</f>
        <v>Normal</v>
      </c>
      <c r="S437">
        <v>1</v>
      </c>
      <c r="T437">
        <v>414.47</v>
      </c>
      <c r="U437">
        <v>3</v>
      </c>
      <c r="V437">
        <v>414.47</v>
      </c>
    </row>
    <row r="438" spans="1:22" x14ac:dyDescent="0.25">
      <c r="A438" t="s">
        <v>1689</v>
      </c>
      <c r="B438" s="1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  <c r="O438" t="str">
        <f>IF(OR($N438&lt;EDA_Summary!$B$14,$N438&gt;EDA_Summary!$B$15), "Outlier", "Normal")</f>
        <v>Normal</v>
      </c>
      <c r="S438">
        <v>4</v>
      </c>
      <c r="T438">
        <v>221.33</v>
      </c>
      <c r="U438">
        <v>5</v>
      </c>
      <c r="V438">
        <v>885.32</v>
      </c>
    </row>
    <row r="439" spans="1:22" x14ac:dyDescent="0.25">
      <c r="A439" t="s">
        <v>1692</v>
      </c>
      <c r="B439" s="1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  <c r="O439" t="str">
        <f>IF(OR($N439&lt;EDA_Summary!$B$14,$N439&gt;EDA_Summary!$B$15), "Outlier", "Normal")</f>
        <v>Normal</v>
      </c>
      <c r="S439">
        <v>1</v>
      </c>
      <c r="T439">
        <v>512.39</v>
      </c>
      <c r="U439">
        <v>2</v>
      </c>
      <c r="V439">
        <v>512.39</v>
      </c>
    </row>
    <row r="440" spans="1:22" x14ac:dyDescent="0.25">
      <c r="A440" t="s">
        <v>1696</v>
      </c>
      <c r="B440" s="1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  <c r="O440" t="str">
        <f>IF(OR($N440&lt;EDA_Summary!$B$14,$N440&gt;EDA_Summary!$B$15), "Outlier", "Normal")</f>
        <v>Normal</v>
      </c>
      <c r="S440">
        <v>3</v>
      </c>
      <c r="T440">
        <v>459.34</v>
      </c>
      <c r="U440">
        <v>3</v>
      </c>
      <c r="V440">
        <v>1378.02</v>
      </c>
    </row>
    <row r="441" spans="1:22" x14ac:dyDescent="0.25">
      <c r="A441" t="s">
        <v>1700</v>
      </c>
      <c r="B441" s="1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  <c r="O441" t="str">
        <f>IF(OR($N441&lt;EDA_Summary!$B$14,$N441&gt;EDA_Summary!$B$15), "Outlier", "Normal")</f>
        <v>Normal</v>
      </c>
      <c r="S441">
        <v>1</v>
      </c>
      <c r="T441">
        <v>146.32</v>
      </c>
      <c r="U441">
        <v>4</v>
      </c>
      <c r="V441">
        <v>146.32</v>
      </c>
    </row>
    <row r="442" spans="1:22" x14ac:dyDescent="0.25">
      <c r="A442" t="s">
        <v>1704</v>
      </c>
      <c r="B442" s="1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  <c r="O442" t="str">
        <f>IF(OR($N442&lt;EDA_Summary!$B$14,$N442&gt;EDA_Summary!$B$15), "Outlier", "Normal")</f>
        <v>Normal</v>
      </c>
      <c r="S442">
        <v>4</v>
      </c>
      <c r="T442">
        <v>83.6</v>
      </c>
      <c r="U442">
        <v>4</v>
      </c>
      <c r="V442">
        <v>334.4</v>
      </c>
    </row>
    <row r="443" spans="1:22" x14ac:dyDescent="0.25">
      <c r="A443" t="s">
        <v>1707</v>
      </c>
      <c r="B443" s="1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  <c r="O443" t="str">
        <f>IF(OR($N443&lt;EDA_Summary!$B$14,$N443&gt;EDA_Summary!$B$15), "Outlier", "Normal")</f>
        <v>Normal</v>
      </c>
      <c r="S443">
        <v>2</v>
      </c>
      <c r="T443">
        <v>328.54</v>
      </c>
      <c r="U443">
        <v>6</v>
      </c>
      <c r="V443">
        <v>657.08</v>
      </c>
    </row>
    <row r="444" spans="1:22" x14ac:dyDescent="0.25">
      <c r="A444" t="s">
        <v>1711</v>
      </c>
      <c r="B444" s="1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  <c r="O444" t="str">
        <f>IF(OR($N444&lt;EDA_Summary!$B$14,$N444&gt;EDA_Summary!$B$15), "Outlier", "Normal")</f>
        <v>Normal</v>
      </c>
      <c r="S444">
        <v>5</v>
      </c>
      <c r="T444">
        <v>314.94</v>
      </c>
      <c r="U444">
        <v>8</v>
      </c>
      <c r="V444">
        <v>1574.7</v>
      </c>
    </row>
    <row r="445" spans="1:22" x14ac:dyDescent="0.25">
      <c r="A445" t="s">
        <v>1715</v>
      </c>
      <c r="B445" s="1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  <c r="O445" t="str">
        <f>IF(OR($N445&lt;EDA_Summary!$B$14,$N445&gt;EDA_Summary!$B$15), "Outlier", "Normal")</f>
        <v>Normal</v>
      </c>
      <c r="S445">
        <v>2</v>
      </c>
      <c r="T445">
        <v>69.64</v>
      </c>
      <c r="U445">
        <v>6</v>
      </c>
      <c r="V445">
        <v>139.28</v>
      </c>
    </row>
    <row r="446" spans="1:22" x14ac:dyDescent="0.25">
      <c r="A446" t="s">
        <v>1718</v>
      </c>
      <c r="B446" s="1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  <c r="O446" t="str">
        <f>IF(OR($N446&lt;EDA_Summary!$B$14,$N446&gt;EDA_Summary!$B$15), "Outlier", "Normal")</f>
        <v>Normal</v>
      </c>
      <c r="S446">
        <v>1</v>
      </c>
      <c r="T446">
        <v>135.16999999999999</v>
      </c>
      <c r="U446">
        <v>6</v>
      </c>
      <c r="V446">
        <v>135.16999999999999</v>
      </c>
    </row>
    <row r="447" spans="1:22" x14ac:dyDescent="0.25">
      <c r="A447" t="s">
        <v>1722</v>
      </c>
      <c r="B447" s="1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  <c r="O447" t="str">
        <f>IF(OR($N447&lt;EDA_Summary!$B$14,$N447&gt;EDA_Summary!$B$15), "Outlier", "Normal")</f>
        <v>Normal</v>
      </c>
      <c r="S447">
        <v>1</v>
      </c>
      <c r="T447">
        <v>487.21</v>
      </c>
      <c r="U447">
        <v>3</v>
      </c>
      <c r="V447">
        <v>487.21</v>
      </c>
    </row>
    <row r="448" spans="1:22" x14ac:dyDescent="0.25">
      <c r="A448" t="s">
        <v>1726</v>
      </c>
      <c r="B448" s="1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  <c r="O448" t="str">
        <f>IF(OR($N448&lt;EDA_Summary!$B$14,$N448&gt;EDA_Summary!$B$15), "Outlier", "Normal")</f>
        <v>Normal</v>
      </c>
      <c r="S448">
        <v>5</v>
      </c>
      <c r="T448">
        <v>509.58</v>
      </c>
      <c r="U448">
        <v>6</v>
      </c>
      <c r="V448">
        <v>2547.9</v>
      </c>
    </row>
    <row r="449" spans="1:22" x14ac:dyDescent="0.25">
      <c r="A449" t="s">
        <v>1730</v>
      </c>
      <c r="B449" s="1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  <c r="O449" t="str">
        <f>IF(OR($N449&lt;EDA_Summary!$B$14,$N449&gt;EDA_Summary!$B$15), "Outlier", "Normal")</f>
        <v>Normal</v>
      </c>
      <c r="S449">
        <v>2</v>
      </c>
      <c r="T449">
        <v>416.81</v>
      </c>
      <c r="U449">
        <v>2</v>
      </c>
      <c r="V449">
        <v>833.62</v>
      </c>
    </row>
    <row r="450" spans="1:22" x14ac:dyDescent="0.25">
      <c r="A450" t="s">
        <v>1734</v>
      </c>
      <c r="B450" s="1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  <c r="O450" t="str">
        <f>IF(OR($N450&lt;EDA_Summary!$B$14,$N450&gt;EDA_Summary!$B$15), "Outlier", "Normal")</f>
        <v>Normal</v>
      </c>
      <c r="S450">
        <v>2</v>
      </c>
      <c r="T450">
        <v>160</v>
      </c>
      <c r="U450">
        <v>4</v>
      </c>
      <c r="V450">
        <v>320</v>
      </c>
    </row>
    <row r="451" spans="1:22" x14ac:dyDescent="0.25">
      <c r="A451" t="s">
        <v>1738</v>
      </c>
      <c r="B451" s="1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  <c r="O451" t="str">
        <f>IF(OR($N451&lt;EDA_Summary!$B$14,$N451&gt;EDA_Summary!$B$15), "Outlier", "Normal")</f>
        <v>Normal</v>
      </c>
      <c r="S451">
        <v>3</v>
      </c>
      <c r="T451">
        <v>253.05</v>
      </c>
      <c r="U451">
        <v>3</v>
      </c>
      <c r="V451">
        <v>759.15000000000009</v>
      </c>
    </row>
    <row r="452" spans="1:22" x14ac:dyDescent="0.25">
      <c r="A452" t="s">
        <v>1742</v>
      </c>
      <c r="B452" s="1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  <c r="O452" t="str">
        <f>IF(OR($N452&lt;EDA_Summary!$B$14,$N452&gt;EDA_Summary!$B$15), "Outlier", "Normal")</f>
        <v>Normal</v>
      </c>
      <c r="S452">
        <v>5</v>
      </c>
      <c r="T452">
        <v>615.1</v>
      </c>
      <c r="U452">
        <v>10</v>
      </c>
      <c r="V452">
        <v>3075.5</v>
      </c>
    </row>
    <row r="453" spans="1:22" x14ac:dyDescent="0.25">
      <c r="A453" t="s">
        <v>1746</v>
      </c>
      <c r="B453" s="1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  <c r="O453" t="str">
        <f>IF(OR($N453&lt;EDA_Summary!$B$14,$N453&gt;EDA_Summary!$B$15), "Outlier", "Normal")</f>
        <v>Normal</v>
      </c>
      <c r="S453">
        <v>1</v>
      </c>
      <c r="T453">
        <v>183.18</v>
      </c>
      <c r="U453">
        <v>6</v>
      </c>
      <c r="V453">
        <v>183.18</v>
      </c>
    </row>
    <row r="454" spans="1:22" x14ac:dyDescent="0.25">
      <c r="A454" t="s">
        <v>1749</v>
      </c>
      <c r="B454" s="1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  <c r="O454" t="str">
        <f>IF(OR($N454&lt;EDA_Summary!$B$14,$N454&gt;EDA_Summary!$B$15), "Outlier", "Normal")</f>
        <v>Normal</v>
      </c>
      <c r="S454">
        <v>1</v>
      </c>
      <c r="T454">
        <v>75.78</v>
      </c>
      <c r="U454">
        <v>5</v>
      </c>
      <c r="V454">
        <v>75.78</v>
      </c>
    </row>
    <row r="455" spans="1:22" x14ac:dyDescent="0.25">
      <c r="A455" t="s">
        <v>1753</v>
      </c>
      <c r="B455" s="1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  <c r="O455" t="str">
        <f>IF(OR($N455&lt;EDA_Summary!$B$14,$N455&gt;EDA_Summary!$B$15), "Outlier", "Normal")</f>
        <v>Normal</v>
      </c>
      <c r="S455">
        <v>1</v>
      </c>
      <c r="T455">
        <v>675.57</v>
      </c>
      <c r="U455">
        <v>1</v>
      </c>
      <c r="V455">
        <v>675.57</v>
      </c>
    </row>
    <row r="456" spans="1:22" x14ac:dyDescent="0.25">
      <c r="A456" t="s">
        <v>1757</v>
      </c>
      <c r="B456" s="1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  <c r="O456" t="str">
        <f>IF(OR($N456&lt;EDA_Summary!$B$14,$N456&gt;EDA_Summary!$B$15), "Outlier", "Normal")</f>
        <v>Normal</v>
      </c>
      <c r="S456">
        <v>1</v>
      </c>
      <c r="T456">
        <v>109.29</v>
      </c>
      <c r="U456">
        <v>5</v>
      </c>
      <c r="V456">
        <v>109.29</v>
      </c>
    </row>
    <row r="457" spans="1:22" x14ac:dyDescent="0.25">
      <c r="A457" t="s">
        <v>1761</v>
      </c>
      <c r="B457" s="1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  <c r="O457" t="str">
        <f>IF(OR($N457&lt;EDA_Summary!$B$14,$N457&gt;EDA_Summary!$B$15), "Outlier", "Normal")</f>
        <v>Normal</v>
      </c>
      <c r="S457">
        <v>1</v>
      </c>
      <c r="T457">
        <v>639.83000000000004</v>
      </c>
      <c r="U457">
        <v>2</v>
      </c>
      <c r="V457">
        <v>639.83000000000004</v>
      </c>
    </row>
    <row r="458" spans="1:22" x14ac:dyDescent="0.25">
      <c r="A458" t="s">
        <v>1765</v>
      </c>
      <c r="B458" s="1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  <c r="O458" t="str">
        <f>IF(OR($N458&lt;EDA_Summary!$B$14,$N458&gt;EDA_Summary!$B$15), "Outlier", "Normal")</f>
        <v>Normal</v>
      </c>
      <c r="S458">
        <v>5</v>
      </c>
      <c r="T458">
        <v>62.81</v>
      </c>
      <c r="U458">
        <v>9</v>
      </c>
      <c r="V458">
        <v>314.05</v>
      </c>
    </row>
    <row r="459" spans="1:22" x14ac:dyDescent="0.25">
      <c r="A459" t="s">
        <v>1768</v>
      </c>
      <c r="B459" s="1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  <c r="O459" t="str">
        <f>IF(OR($N459&lt;EDA_Summary!$B$14,$N459&gt;EDA_Summary!$B$15), "Outlier", "Normal")</f>
        <v>Normal</v>
      </c>
      <c r="S459">
        <v>4</v>
      </c>
      <c r="T459">
        <v>615.83000000000004</v>
      </c>
      <c r="U459">
        <v>4</v>
      </c>
      <c r="V459">
        <v>2463.3200000000002</v>
      </c>
    </row>
    <row r="460" spans="1:22" x14ac:dyDescent="0.25">
      <c r="A460" t="s">
        <v>1772</v>
      </c>
      <c r="B460" s="1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  <c r="O460" t="str">
        <f>IF(OR($N460&lt;EDA_Summary!$B$14,$N460&gt;EDA_Summary!$B$15), "Outlier", "Normal")</f>
        <v>Normal</v>
      </c>
      <c r="S460">
        <v>4</v>
      </c>
      <c r="T460">
        <v>510.58</v>
      </c>
      <c r="U460">
        <v>7</v>
      </c>
      <c r="V460">
        <v>2042.32</v>
      </c>
    </row>
    <row r="461" spans="1:22" x14ac:dyDescent="0.25">
      <c r="A461" t="s">
        <v>1775</v>
      </c>
      <c r="B461" s="1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  <c r="O461" t="str">
        <f>IF(OR($N461&lt;EDA_Summary!$B$14,$N461&gt;EDA_Summary!$B$15), "Outlier", "Normal")</f>
        <v>Normal</v>
      </c>
      <c r="S461">
        <v>1</v>
      </c>
      <c r="T461">
        <v>334.39</v>
      </c>
      <c r="U461">
        <v>2</v>
      </c>
      <c r="V461">
        <v>334.39</v>
      </c>
    </row>
    <row r="462" spans="1:22" x14ac:dyDescent="0.25">
      <c r="A462" t="s">
        <v>1778</v>
      </c>
      <c r="B462" s="1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  <c r="O462" t="str">
        <f>IF(OR($N462&lt;EDA_Summary!$B$14,$N462&gt;EDA_Summary!$B$15), "Outlier", "Normal")</f>
        <v>Normal</v>
      </c>
      <c r="S462">
        <v>1</v>
      </c>
      <c r="T462">
        <v>144.25</v>
      </c>
      <c r="U462">
        <v>2</v>
      </c>
      <c r="V462">
        <v>144.25</v>
      </c>
    </row>
    <row r="463" spans="1:22" x14ac:dyDescent="0.25">
      <c r="A463" t="s">
        <v>1782</v>
      </c>
      <c r="B463" s="1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  <c r="O463" t="str">
        <f>IF(OR($N463&lt;EDA_Summary!$B$14,$N463&gt;EDA_Summary!$B$15), "Outlier", "Normal")</f>
        <v>Normal</v>
      </c>
      <c r="S463">
        <v>1</v>
      </c>
      <c r="T463">
        <v>401.82</v>
      </c>
      <c r="U463">
        <v>5</v>
      </c>
      <c r="V463">
        <v>401.82</v>
      </c>
    </row>
    <row r="464" spans="1:22" x14ac:dyDescent="0.25">
      <c r="A464" t="s">
        <v>1785</v>
      </c>
      <c r="B464" s="1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  <c r="O464" t="str">
        <f>IF(OR($N464&lt;EDA_Summary!$B$14,$N464&gt;EDA_Summary!$B$15), "Outlier", "Normal")</f>
        <v>Normal</v>
      </c>
      <c r="S464">
        <v>1</v>
      </c>
      <c r="T464">
        <v>252.68</v>
      </c>
      <c r="U464">
        <v>1</v>
      </c>
      <c r="V464">
        <v>252.68</v>
      </c>
    </row>
    <row r="465" spans="1:22" x14ac:dyDescent="0.25">
      <c r="A465" t="s">
        <v>1789</v>
      </c>
      <c r="B465" s="1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  <c r="O465" t="str">
        <f>IF(OR($N465&lt;EDA_Summary!$B$14,$N465&gt;EDA_Summary!$B$15), "Outlier", "Normal")</f>
        <v>Normal</v>
      </c>
      <c r="S465">
        <v>5</v>
      </c>
      <c r="T465">
        <v>662.78</v>
      </c>
      <c r="U465">
        <v>9</v>
      </c>
      <c r="V465">
        <v>3313.9</v>
      </c>
    </row>
    <row r="466" spans="1:22" x14ac:dyDescent="0.25">
      <c r="A466" t="s">
        <v>1793</v>
      </c>
      <c r="B466" s="1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  <c r="O466" t="str">
        <f>IF(OR($N466&lt;EDA_Summary!$B$14,$N466&gt;EDA_Summary!$B$15), "Outlier", "Normal")</f>
        <v>Normal</v>
      </c>
      <c r="S466">
        <v>4</v>
      </c>
      <c r="T466">
        <v>434.42</v>
      </c>
      <c r="U466">
        <v>6</v>
      </c>
      <c r="V466">
        <v>1737.68</v>
      </c>
    </row>
    <row r="467" spans="1:22" x14ac:dyDescent="0.25">
      <c r="A467" t="s">
        <v>1797</v>
      </c>
      <c r="B467" s="1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  <c r="O467" t="str">
        <f>IF(OR($N467&lt;EDA_Summary!$B$14,$N467&gt;EDA_Summary!$B$15), "Outlier", "Normal")</f>
        <v>Normal</v>
      </c>
      <c r="S467">
        <v>5</v>
      </c>
      <c r="T467">
        <v>513.49</v>
      </c>
      <c r="U467">
        <v>8</v>
      </c>
      <c r="V467">
        <v>2567.4499999999998</v>
      </c>
    </row>
    <row r="468" spans="1:22" x14ac:dyDescent="0.25">
      <c r="A468" t="s">
        <v>1801</v>
      </c>
      <c r="B468" s="1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  <c r="O468" t="str">
        <f>IF(OR($N468&lt;EDA_Summary!$B$14,$N468&gt;EDA_Summary!$B$15), "Outlier", "Normal")</f>
        <v>Normal</v>
      </c>
      <c r="S468">
        <v>1</v>
      </c>
      <c r="T468">
        <v>432.47</v>
      </c>
      <c r="U468">
        <v>4</v>
      </c>
      <c r="V468">
        <v>432.47</v>
      </c>
    </row>
    <row r="469" spans="1:22" x14ac:dyDescent="0.25">
      <c r="A469" t="s">
        <v>1804</v>
      </c>
      <c r="B469" s="1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  <c r="O469" t="str">
        <f>IF(OR($N469&lt;EDA_Summary!$B$14,$N469&gt;EDA_Summary!$B$15), "Outlier", "Normal")</f>
        <v>Normal</v>
      </c>
      <c r="S469">
        <v>1</v>
      </c>
      <c r="T469">
        <v>45.94</v>
      </c>
      <c r="U469">
        <v>2</v>
      </c>
      <c r="V469">
        <v>45.94</v>
      </c>
    </row>
    <row r="470" spans="1:22" x14ac:dyDescent="0.25">
      <c r="A470" t="s">
        <v>1807</v>
      </c>
      <c r="B470" s="1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  <c r="O470" t="str">
        <f>IF(OR($N470&lt;EDA_Summary!$B$14,$N470&gt;EDA_Summary!$B$15), "Outlier", "Normal")</f>
        <v>Normal</v>
      </c>
      <c r="S470">
        <v>1</v>
      </c>
      <c r="T470">
        <v>418.36</v>
      </c>
      <c r="U470">
        <v>5</v>
      </c>
      <c r="V470">
        <v>418.36</v>
      </c>
    </row>
    <row r="471" spans="1:22" x14ac:dyDescent="0.25">
      <c r="A471" t="s">
        <v>1811</v>
      </c>
      <c r="B471" s="1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  <c r="O471" t="str">
        <f>IF(OR($N471&lt;EDA_Summary!$B$14,$N471&gt;EDA_Summary!$B$15), "Outlier", "Normal")</f>
        <v>Outlier</v>
      </c>
      <c r="S471">
        <v>5</v>
      </c>
      <c r="T471">
        <v>676.98</v>
      </c>
      <c r="U471">
        <v>5</v>
      </c>
      <c r="V471">
        <v>3384.9</v>
      </c>
    </row>
    <row r="472" spans="1:22" x14ac:dyDescent="0.25">
      <c r="A472" t="s">
        <v>1814</v>
      </c>
      <c r="B472" s="1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  <c r="O472" t="str">
        <f>IF(OR($N472&lt;EDA_Summary!$B$14,$N472&gt;EDA_Summary!$B$15), "Outlier", "Normal")</f>
        <v>Normal</v>
      </c>
      <c r="S472">
        <v>4</v>
      </c>
      <c r="T472">
        <v>263.62</v>
      </c>
      <c r="U472">
        <v>5</v>
      </c>
      <c r="V472">
        <v>1054.48</v>
      </c>
    </row>
    <row r="473" spans="1:22" x14ac:dyDescent="0.25">
      <c r="A473" t="s">
        <v>1818</v>
      </c>
      <c r="B473" s="1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  <c r="O473" t="str">
        <f>IF(OR($N473&lt;EDA_Summary!$B$14,$N473&gt;EDA_Summary!$B$15), "Outlier", "Normal")</f>
        <v>Normal</v>
      </c>
      <c r="S473">
        <v>5</v>
      </c>
      <c r="T473">
        <v>551.27</v>
      </c>
      <c r="U473">
        <v>7</v>
      </c>
      <c r="V473">
        <v>2756.35</v>
      </c>
    </row>
    <row r="474" spans="1:22" x14ac:dyDescent="0.25">
      <c r="A474" t="s">
        <v>1822</v>
      </c>
      <c r="B474" s="1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  <c r="O474" t="str">
        <f>IF(OR($N474&lt;EDA_Summary!$B$14,$N474&gt;EDA_Summary!$B$15), "Outlier", "Normal")</f>
        <v>Normal</v>
      </c>
      <c r="S474">
        <v>3</v>
      </c>
      <c r="T474">
        <v>508.12</v>
      </c>
      <c r="U474">
        <v>8</v>
      </c>
      <c r="V474">
        <v>1524.36</v>
      </c>
    </row>
    <row r="475" spans="1:22" x14ac:dyDescent="0.25">
      <c r="A475" t="s">
        <v>1826</v>
      </c>
      <c r="B475" s="1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  <c r="O475" t="str">
        <f>IF(OR($N475&lt;EDA_Summary!$B$14,$N475&gt;EDA_Summary!$B$15), "Outlier", "Normal")</f>
        <v>Normal</v>
      </c>
      <c r="S475">
        <v>2</v>
      </c>
      <c r="T475">
        <v>14.93</v>
      </c>
      <c r="U475">
        <v>4</v>
      </c>
      <c r="V475">
        <v>29.86</v>
      </c>
    </row>
    <row r="476" spans="1:22" x14ac:dyDescent="0.25">
      <c r="A476" t="s">
        <v>1830</v>
      </c>
      <c r="B476" s="1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  <c r="O476" t="str">
        <f>IF(OR($N476&lt;EDA_Summary!$B$14,$N476&gt;EDA_Summary!$B$15), "Outlier", "Normal")</f>
        <v>Normal</v>
      </c>
      <c r="S476">
        <v>3</v>
      </c>
      <c r="T476">
        <v>229.34</v>
      </c>
      <c r="U476">
        <v>6</v>
      </c>
      <c r="V476">
        <v>688.02</v>
      </c>
    </row>
    <row r="477" spans="1:22" x14ac:dyDescent="0.25">
      <c r="A477" t="s">
        <v>1833</v>
      </c>
      <c r="B477" s="1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  <c r="O477" t="str">
        <f>IF(OR($N477&lt;EDA_Summary!$B$14,$N477&gt;EDA_Summary!$B$15), "Outlier", "Normal")</f>
        <v>Normal</v>
      </c>
      <c r="S477">
        <v>2</v>
      </c>
      <c r="T477">
        <v>438.62</v>
      </c>
      <c r="U477">
        <v>3</v>
      </c>
      <c r="V477">
        <v>877.24</v>
      </c>
    </row>
    <row r="478" spans="1:22" x14ac:dyDescent="0.25">
      <c r="A478" t="s">
        <v>1837</v>
      </c>
      <c r="B478" s="1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  <c r="O478" t="str">
        <f>IF(OR($N478&lt;EDA_Summary!$B$14,$N478&gt;EDA_Summary!$B$15), "Outlier", "Normal")</f>
        <v>Normal</v>
      </c>
      <c r="S478">
        <v>2</v>
      </c>
      <c r="T478">
        <v>513.59</v>
      </c>
      <c r="U478">
        <v>4</v>
      </c>
      <c r="V478">
        <v>1027.18</v>
      </c>
    </row>
    <row r="479" spans="1:22" x14ac:dyDescent="0.25">
      <c r="A479" t="s">
        <v>1841</v>
      </c>
      <c r="B479" s="1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  <c r="O479" t="str">
        <f>IF(OR($N479&lt;EDA_Summary!$B$14,$N479&gt;EDA_Summary!$B$15), "Outlier", "Normal")</f>
        <v>Normal</v>
      </c>
      <c r="S479">
        <v>2</v>
      </c>
      <c r="T479">
        <v>253.74</v>
      </c>
      <c r="U479">
        <v>5</v>
      </c>
      <c r="V479">
        <v>507.48</v>
      </c>
    </row>
    <row r="480" spans="1:22" x14ac:dyDescent="0.25">
      <c r="A480" t="s">
        <v>1845</v>
      </c>
      <c r="B480" s="1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  <c r="O480" t="str">
        <f>IF(OR($N480&lt;EDA_Summary!$B$14,$N480&gt;EDA_Summary!$B$15), "Outlier", "Normal")</f>
        <v>Normal</v>
      </c>
      <c r="S480">
        <v>3</v>
      </c>
      <c r="T480">
        <v>62.77</v>
      </c>
      <c r="U480">
        <v>6</v>
      </c>
      <c r="V480">
        <v>188.31</v>
      </c>
    </row>
    <row r="481" spans="1:22" x14ac:dyDescent="0.25">
      <c r="A481" t="s">
        <v>1848</v>
      </c>
      <c r="B481" s="1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  <c r="O481" t="str">
        <f>IF(OR($N481&lt;EDA_Summary!$B$14,$N481&gt;EDA_Summary!$B$15), "Outlier", "Normal")</f>
        <v>Normal</v>
      </c>
      <c r="S481">
        <v>4</v>
      </c>
      <c r="T481">
        <v>25.29</v>
      </c>
      <c r="U481">
        <v>8</v>
      </c>
      <c r="V481">
        <v>101.16</v>
      </c>
    </row>
    <row r="482" spans="1:22" x14ac:dyDescent="0.25">
      <c r="A482" t="s">
        <v>1852</v>
      </c>
      <c r="B482" s="1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  <c r="O482" t="str">
        <f>IF(OR($N482&lt;EDA_Summary!$B$14,$N482&gt;EDA_Summary!$B$15), "Outlier", "Normal")</f>
        <v>Normal</v>
      </c>
      <c r="S482">
        <v>1</v>
      </c>
      <c r="T482">
        <v>335.1</v>
      </c>
      <c r="U482">
        <v>6</v>
      </c>
      <c r="V482">
        <v>335.1</v>
      </c>
    </row>
    <row r="483" spans="1:22" x14ac:dyDescent="0.25">
      <c r="A483" t="s">
        <v>1855</v>
      </c>
      <c r="B483" s="1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  <c r="O483" t="str">
        <f>IF(OR($N483&lt;EDA_Summary!$B$14,$N483&gt;EDA_Summary!$B$15), "Outlier", "Normal")</f>
        <v>Normal</v>
      </c>
      <c r="S483">
        <v>4</v>
      </c>
      <c r="T483">
        <v>484.85</v>
      </c>
      <c r="U483">
        <v>5</v>
      </c>
      <c r="V483">
        <v>1939.4</v>
      </c>
    </row>
    <row r="484" spans="1:22" x14ac:dyDescent="0.25">
      <c r="A484" t="s">
        <v>1858</v>
      </c>
      <c r="B484" s="1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  <c r="O484" t="str">
        <f>IF(OR($N484&lt;EDA_Summary!$B$14,$N484&gt;EDA_Summary!$B$15), "Outlier", "Normal")</f>
        <v>Normal</v>
      </c>
      <c r="S484">
        <v>3</v>
      </c>
      <c r="T484">
        <v>381.41</v>
      </c>
      <c r="U484">
        <v>6</v>
      </c>
      <c r="V484">
        <v>1144.23</v>
      </c>
    </row>
    <row r="485" spans="1:22" x14ac:dyDescent="0.25">
      <c r="A485" t="s">
        <v>1861</v>
      </c>
      <c r="B485" s="1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  <c r="O485" t="str">
        <f>IF(OR($N485&lt;EDA_Summary!$B$14,$N485&gt;EDA_Summary!$B$15), "Outlier", "Normal")</f>
        <v>Normal</v>
      </c>
      <c r="S485">
        <v>5</v>
      </c>
      <c r="T485">
        <v>347.92</v>
      </c>
      <c r="U485">
        <v>6</v>
      </c>
      <c r="V485">
        <v>1739.6</v>
      </c>
    </row>
    <row r="486" spans="1:22" x14ac:dyDescent="0.25">
      <c r="A486" t="s">
        <v>1865</v>
      </c>
      <c r="B486" s="1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  <c r="O486" t="str">
        <f>IF(OR($N486&lt;EDA_Summary!$B$14,$N486&gt;EDA_Summary!$B$15), "Outlier", "Normal")</f>
        <v>Normal</v>
      </c>
      <c r="S486">
        <v>4</v>
      </c>
      <c r="T486">
        <v>15.01</v>
      </c>
      <c r="U486">
        <v>6</v>
      </c>
      <c r="V486">
        <v>60.04</v>
      </c>
    </row>
    <row r="487" spans="1:22" x14ac:dyDescent="0.25">
      <c r="A487" t="s">
        <v>1868</v>
      </c>
      <c r="B487" s="1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  <c r="O487" t="str">
        <f>IF(OR($N487&lt;EDA_Summary!$B$14,$N487&gt;EDA_Summary!$B$15), "Outlier", "Normal")</f>
        <v>Normal</v>
      </c>
      <c r="S487">
        <v>3</v>
      </c>
      <c r="T487">
        <v>404.79</v>
      </c>
      <c r="U487">
        <v>6</v>
      </c>
      <c r="V487">
        <v>1214.3699999999999</v>
      </c>
    </row>
    <row r="488" spans="1:22" x14ac:dyDescent="0.25">
      <c r="A488" t="s">
        <v>1872</v>
      </c>
      <c r="B488" s="1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  <c r="O488" t="str">
        <f>IF(OR($N488&lt;EDA_Summary!$B$14,$N488&gt;EDA_Summary!$B$15), "Outlier", "Normal")</f>
        <v>Normal</v>
      </c>
      <c r="S488">
        <v>4</v>
      </c>
      <c r="T488">
        <v>611.26</v>
      </c>
      <c r="U488">
        <v>5</v>
      </c>
      <c r="V488">
        <v>2445.04</v>
      </c>
    </row>
    <row r="489" spans="1:22" x14ac:dyDescent="0.25">
      <c r="A489" t="s">
        <v>1875</v>
      </c>
      <c r="B489" s="1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  <c r="O489" t="str">
        <f>IF(OR($N489&lt;EDA_Summary!$B$14,$N489&gt;EDA_Summary!$B$15), "Outlier", "Normal")</f>
        <v>Normal</v>
      </c>
      <c r="S489">
        <v>3</v>
      </c>
      <c r="T489">
        <v>346.52</v>
      </c>
      <c r="U489">
        <v>3</v>
      </c>
      <c r="V489">
        <v>1039.56</v>
      </c>
    </row>
    <row r="490" spans="1:22" x14ac:dyDescent="0.25">
      <c r="A490" t="s">
        <v>1879</v>
      </c>
      <c r="B490" s="1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  <c r="O490" t="str">
        <f>IF(OR($N490&lt;EDA_Summary!$B$14,$N490&gt;EDA_Summary!$B$15), "Outlier", "Normal")</f>
        <v>Normal</v>
      </c>
      <c r="S490">
        <v>1</v>
      </c>
      <c r="T490">
        <v>36.65</v>
      </c>
      <c r="U490">
        <v>1</v>
      </c>
      <c r="V490">
        <v>36.65</v>
      </c>
    </row>
    <row r="491" spans="1:22" x14ac:dyDescent="0.25">
      <c r="A491" t="s">
        <v>1883</v>
      </c>
      <c r="B491" s="1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  <c r="O491" t="str">
        <f>IF(OR($N491&lt;EDA_Summary!$B$14,$N491&gt;EDA_Summary!$B$15), "Outlier", "Normal")</f>
        <v>Normal</v>
      </c>
      <c r="S491">
        <v>3</v>
      </c>
      <c r="T491">
        <v>149.34</v>
      </c>
      <c r="U491">
        <v>7</v>
      </c>
      <c r="V491">
        <v>448.02</v>
      </c>
    </row>
    <row r="492" spans="1:22" x14ac:dyDescent="0.25">
      <c r="A492" t="s">
        <v>1886</v>
      </c>
      <c r="B492" s="1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  <c r="O492" t="str">
        <f>IF(OR($N492&lt;EDA_Summary!$B$14,$N492&gt;EDA_Summary!$B$15), "Outlier", "Normal")</f>
        <v>Normal</v>
      </c>
      <c r="S492">
        <v>5</v>
      </c>
      <c r="T492">
        <v>467.81</v>
      </c>
      <c r="U492">
        <v>10</v>
      </c>
      <c r="V492">
        <v>2339.0500000000002</v>
      </c>
    </row>
    <row r="493" spans="1:22" x14ac:dyDescent="0.25">
      <c r="A493" t="s">
        <v>1890</v>
      </c>
      <c r="B493" s="1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  <c r="O493" t="str">
        <f>IF(OR($N493&lt;EDA_Summary!$B$14,$N493&gt;EDA_Summary!$B$15), "Outlier", "Normal")</f>
        <v>Normal</v>
      </c>
      <c r="S493">
        <v>5</v>
      </c>
      <c r="T493">
        <v>420.7</v>
      </c>
      <c r="U493">
        <v>5</v>
      </c>
      <c r="V493">
        <v>2103.5</v>
      </c>
    </row>
    <row r="494" spans="1:22" x14ac:dyDescent="0.25">
      <c r="A494" t="s">
        <v>1893</v>
      </c>
      <c r="B494" s="1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  <c r="O494" t="str">
        <f>IF(OR($N494&lt;EDA_Summary!$B$14,$N494&gt;EDA_Summary!$B$15), "Outlier", "Normal")</f>
        <v>Normal</v>
      </c>
      <c r="S494">
        <v>5</v>
      </c>
      <c r="T494">
        <v>606.52</v>
      </c>
      <c r="U494">
        <v>6</v>
      </c>
      <c r="V494">
        <v>3032.6</v>
      </c>
    </row>
    <row r="495" spans="1:22" x14ac:dyDescent="0.25">
      <c r="A495" t="s">
        <v>1896</v>
      </c>
      <c r="B495" s="1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  <c r="O495" t="str">
        <f>IF(OR($N495&lt;EDA_Summary!$B$14,$N495&gt;EDA_Summary!$B$15), "Outlier", "Normal")</f>
        <v>Normal</v>
      </c>
      <c r="S495">
        <v>1</v>
      </c>
      <c r="T495">
        <v>420.26</v>
      </c>
      <c r="U495">
        <v>4</v>
      </c>
      <c r="V495">
        <v>420.26</v>
      </c>
    </row>
    <row r="496" spans="1:22" x14ac:dyDescent="0.25">
      <c r="A496" t="s">
        <v>1900</v>
      </c>
      <c r="B496" s="1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  <c r="O496" t="str">
        <f>IF(OR($N496&lt;EDA_Summary!$B$14,$N496&gt;EDA_Summary!$B$15), "Outlier", "Normal")</f>
        <v>Normal</v>
      </c>
      <c r="S496">
        <v>3</v>
      </c>
      <c r="T496">
        <v>505.79</v>
      </c>
      <c r="U496">
        <v>3</v>
      </c>
      <c r="V496">
        <v>1517.37</v>
      </c>
    </row>
    <row r="497" spans="1:22" x14ac:dyDescent="0.25">
      <c r="A497" t="s">
        <v>1904</v>
      </c>
      <c r="B497" s="1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  <c r="O497" t="str">
        <f>IF(OR($N497&lt;EDA_Summary!$B$14,$N497&gt;EDA_Summary!$B$15), "Outlier", "Normal")</f>
        <v>Normal</v>
      </c>
      <c r="S497">
        <v>4</v>
      </c>
      <c r="T497">
        <v>493.73</v>
      </c>
      <c r="U497">
        <v>6</v>
      </c>
      <c r="V497">
        <v>1974.92</v>
      </c>
    </row>
    <row r="498" spans="1:22" x14ac:dyDescent="0.25">
      <c r="A498" t="s">
        <v>1907</v>
      </c>
      <c r="B498" s="1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  <c r="O498" t="str">
        <f>IF(OR($N498&lt;EDA_Summary!$B$14,$N498&gt;EDA_Summary!$B$15), "Outlier", "Normal")</f>
        <v>Normal</v>
      </c>
      <c r="S498">
        <v>3</v>
      </c>
      <c r="T498">
        <v>201.21</v>
      </c>
      <c r="U498">
        <v>3</v>
      </c>
      <c r="V498">
        <v>603.63</v>
      </c>
    </row>
    <row r="499" spans="1:22" x14ac:dyDescent="0.25">
      <c r="A499" t="s">
        <v>1911</v>
      </c>
      <c r="B499" s="1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  <c r="O499" t="str">
        <f>IF(OR($N499&lt;EDA_Summary!$B$14,$N499&gt;EDA_Summary!$B$15), "Outlier", "Normal")</f>
        <v>Normal</v>
      </c>
      <c r="S499">
        <v>3</v>
      </c>
      <c r="T499">
        <v>112.29</v>
      </c>
      <c r="U499">
        <v>6</v>
      </c>
      <c r="V499">
        <v>336.87</v>
      </c>
    </row>
    <row r="500" spans="1:22" x14ac:dyDescent="0.25">
      <c r="A500" t="s">
        <v>1915</v>
      </c>
      <c r="B500" s="1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  <c r="O500" t="str">
        <f>IF(OR($N500&lt;EDA_Summary!$B$14,$N500&gt;EDA_Summary!$B$15), "Outlier", "Normal")</f>
        <v>Normal</v>
      </c>
      <c r="S500">
        <v>4</v>
      </c>
      <c r="T500">
        <v>132.56</v>
      </c>
      <c r="U500">
        <v>8</v>
      </c>
      <c r="V500">
        <v>530.24</v>
      </c>
    </row>
    <row r="501" spans="1:22" x14ac:dyDescent="0.25">
      <c r="A501" t="s">
        <v>1918</v>
      </c>
      <c r="B501" s="1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  <c r="O501" t="str">
        <f>IF(OR($N501&lt;EDA_Summary!$B$14,$N501&gt;EDA_Summary!$B$15), "Outlier", "Normal")</f>
        <v>Normal</v>
      </c>
      <c r="S501">
        <v>3</v>
      </c>
      <c r="T501">
        <v>539.46</v>
      </c>
      <c r="U501">
        <v>4</v>
      </c>
      <c r="V501">
        <v>1618.38</v>
      </c>
    </row>
    <row r="502" spans="1:22" x14ac:dyDescent="0.25">
      <c r="A502" t="s">
        <v>1922</v>
      </c>
      <c r="B502" s="1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  <c r="O502" t="str">
        <f>IF(OR($N502&lt;EDA_Summary!$B$14,$N502&gt;EDA_Summary!$B$15), "Outlier", "Normal")</f>
        <v>Normal</v>
      </c>
      <c r="S502">
        <v>5</v>
      </c>
      <c r="T502">
        <v>508.59</v>
      </c>
      <c r="U502">
        <v>8</v>
      </c>
      <c r="V502">
        <v>2542.9499999999998</v>
      </c>
    </row>
    <row r="503" spans="1:22" x14ac:dyDescent="0.25">
      <c r="A503" t="s">
        <v>1926</v>
      </c>
      <c r="B503" s="1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  <c r="O503" t="str">
        <f>IF(OR($N503&lt;EDA_Summary!$B$14,$N503&gt;EDA_Summary!$B$15), "Outlier", "Normal")</f>
        <v>Normal</v>
      </c>
      <c r="S503">
        <v>4</v>
      </c>
      <c r="T503">
        <v>203.46</v>
      </c>
      <c r="U503">
        <v>7</v>
      </c>
      <c r="V503">
        <v>813.84</v>
      </c>
    </row>
    <row r="504" spans="1:22" x14ac:dyDescent="0.25">
      <c r="A504" t="s">
        <v>1929</v>
      </c>
      <c r="B504" s="1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  <c r="O504" t="str">
        <f>IF(OR($N504&lt;EDA_Summary!$B$14,$N504&gt;EDA_Summary!$B$15), "Outlier", "Normal")</f>
        <v>Normal</v>
      </c>
      <c r="S504">
        <v>3</v>
      </c>
      <c r="T504">
        <v>565.25</v>
      </c>
      <c r="U504">
        <v>7</v>
      </c>
      <c r="V504">
        <v>1695.75</v>
      </c>
    </row>
    <row r="505" spans="1:22" x14ac:dyDescent="0.25">
      <c r="A505" t="s">
        <v>1933</v>
      </c>
      <c r="B505" s="1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  <c r="O505" t="str">
        <f>IF(OR($N505&lt;EDA_Summary!$B$14,$N505&gt;EDA_Summary!$B$15), "Outlier", "Normal")</f>
        <v>Normal</v>
      </c>
      <c r="S505">
        <v>3</v>
      </c>
      <c r="T505">
        <v>136.84</v>
      </c>
      <c r="U505">
        <v>4</v>
      </c>
      <c r="V505">
        <v>410.52</v>
      </c>
    </row>
    <row r="506" spans="1:22" x14ac:dyDescent="0.25">
      <c r="A506" t="s">
        <v>1937</v>
      </c>
      <c r="B506" s="1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  <c r="O506" t="str">
        <f>IF(OR($N506&lt;EDA_Summary!$B$14,$N506&gt;EDA_Summary!$B$15), "Outlier", "Normal")</f>
        <v>Normal</v>
      </c>
      <c r="S506">
        <v>2</v>
      </c>
      <c r="T506">
        <v>464.5</v>
      </c>
      <c r="U506">
        <v>2</v>
      </c>
      <c r="V506">
        <v>929</v>
      </c>
    </row>
    <row r="507" spans="1:22" x14ac:dyDescent="0.25">
      <c r="A507" t="s">
        <v>1941</v>
      </c>
      <c r="B507" s="1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  <c r="O507" t="str">
        <f>IF(OR($N507&lt;EDA_Summary!$B$14,$N507&gt;EDA_Summary!$B$15), "Outlier", "Normal")</f>
        <v>Normal</v>
      </c>
      <c r="S507">
        <v>2</v>
      </c>
      <c r="T507">
        <v>434.97</v>
      </c>
      <c r="U507">
        <v>7</v>
      </c>
      <c r="V507">
        <v>869.94</v>
      </c>
    </row>
    <row r="508" spans="1:22" x14ac:dyDescent="0.25">
      <c r="A508" t="s">
        <v>1944</v>
      </c>
      <c r="B508" s="1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  <c r="O508" t="str">
        <f>IF(OR($N508&lt;EDA_Summary!$B$14,$N508&gt;EDA_Summary!$B$15), "Outlier", "Normal")</f>
        <v>Normal</v>
      </c>
      <c r="S508">
        <v>2</v>
      </c>
      <c r="T508">
        <v>43.67</v>
      </c>
      <c r="U508">
        <v>4</v>
      </c>
      <c r="V508">
        <v>87.34</v>
      </c>
    </row>
    <row r="509" spans="1:22" x14ac:dyDescent="0.25">
      <c r="A509" t="s">
        <v>1948</v>
      </c>
      <c r="B509" s="1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  <c r="O509" t="str">
        <f>IF(OR($N509&lt;EDA_Summary!$B$14,$N509&gt;EDA_Summary!$B$15), "Outlier", "Normal")</f>
        <v>Normal</v>
      </c>
      <c r="S509">
        <v>1</v>
      </c>
      <c r="T509">
        <v>171.59</v>
      </c>
      <c r="U509">
        <v>5</v>
      </c>
      <c r="V509">
        <v>171.59</v>
      </c>
    </row>
    <row r="510" spans="1:22" x14ac:dyDescent="0.25">
      <c r="A510" t="s">
        <v>1951</v>
      </c>
      <c r="B510" s="1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  <c r="O510" t="str">
        <f>IF(OR($N510&lt;EDA_Summary!$B$14,$N510&gt;EDA_Summary!$B$15), "Outlier", "Normal")</f>
        <v>Normal</v>
      </c>
      <c r="S510">
        <v>1</v>
      </c>
      <c r="T510">
        <v>558.27</v>
      </c>
      <c r="U510">
        <v>1</v>
      </c>
      <c r="V510">
        <v>558.27</v>
      </c>
    </row>
    <row r="511" spans="1:22" x14ac:dyDescent="0.25">
      <c r="A511" t="s">
        <v>1955</v>
      </c>
      <c r="B511" s="1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  <c r="O511" t="str">
        <f>IF(OR($N511&lt;EDA_Summary!$B$14,$N511&gt;EDA_Summary!$B$15), "Outlier", "Normal")</f>
        <v>Normal</v>
      </c>
      <c r="S511">
        <v>2</v>
      </c>
      <c r="T511">
        <v>425.03</v>
      </c>
      <c r="U511">
        <v>2</v>
      </c>
      <c r="V511">
        <v>850.06</v>
      </c>
    </row>
    <row r="512" spans="1:22" x14ac:dyDescent="0.25">
      <c r="A512" t="s">
        <v>1959</v>
      </c>
      <c r="B512" s="1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  <c r="O512" t="str">
        <f>IF(OR($N512&lt;EDA_Summary!$B$14,$N512&gt;EDA_Summary!$B$15), "Outlier", "Normal")</f>
        <v>Normal</v>
      </c>
      <c r="S512">
        <v>1</v>
      </c>
      <c r="T512">
        <v>376.76</v>
      </c>
      <c r="U512">
        <v>5</v>
      </c>
      <c r="V512">
        <v>376.76</v>
      </c>
    </row>
    <row r="513" spans="1:22" x14ac:dyDescent="0.25">
      <c r="A513" t="s">
        <v>1963</v>
      </c>
      <c r="B513" s="1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  <c r="O513" t="str">
        <f>IF(OR($N513&lt;EDA_Summary!$B$14,$N513&gt;EDA_Summary!$B$15), "Outlier", "Normal")</f>
        <v>Normal</v>
      </c>
      <c r="S513">
        <v>5</v>
      </c>
      <c r="T513">
        <v>575.24</v>
      </c>
      <c r="U513">
        <v>7</v>
      </c>
      <c r="V513">
        <v>2876.2</v>
      </c>
    </row>
    <row r="514" spans="1:22" x14ac:dyDescent="0.25">
      <c r="A514" t="s">
        <v>1966</v>
      </c>
      <c r="B514" s="1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  <c r="O514" t="str">
        <f>IF(OR($N514&lt;EDA_Summary!$B$14,$N514&gt;EDA_Summary!$B$15), "Outlier", "Normal")</f>
        <v>Normal</v>
      </c>
      <c r="S514">
        <v>3</v>
      </c>
      <c r="T514">
        <v>568.02</v>
      </c>
      <c r="U514">
        <v>3</v>
      </c>
      <c r="V514">
        <v>1704.06</v>
      </c>
    </row>
    <row r="515" spans="1:22" x14ac:dyDescent="0.25">
      <c r="A515" t="s">
        <v>1969</v>
      </c>
      <c r="B515" s="1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  <c r="O515" t="str">
        <f>IF(OR($N515&lt;EDA_Summary!$B$14,$N515&gt;EDA_Summary!$B$15), "Outlier", "Normal")</f>
        <v>Normal</v>
      </c>
      <c r="S515">
        <v>3</v>
      </c>
      <c r="T515">
        <v>94.88</v>
      </c>
      <c r="U515">
        <v>8</v>
      </c>
      <c r="V515">
        <v>284.64</v>
      </c>
    </row>
    <row r="516" spans="1:22" x14ac:dyDescent="0.25">
      <c r="A516" t="s">
        <v>1972</v>
      </c>
      <c r="B516" s="1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  <c r="O516" t="str">
        <f>IF(OR($N516&lt;EDA_Summary!$B$14,$N516&gt;EDA_Summary!$B$15), "Outlier", "Normal")</f>
        <v>Normal</v>
      </c>
      <c r="S516">
        <v>3</v>
      </c>
      <c r="T516">
        <v>304.14999999999998</v>
      </c>
      <c r="U516">
        <v>3</v>
      </c>
      <c r="V516">
        <v>912.44999999999993</v>
      </c>
    </row>
    <row r="517" spans="1:22" x14ac:dyDescent="0.25">
      <c r="A517" t="s">
        <v>1975</v>
      </c>
      <c r="B517" s="1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  <c r="O517" t="str">
        <f>IF(OR($N517&lt;EDA_Summary!$B$14,$N517&gt;EDA_Summary!$B$15), "Outlier", "Normal")</f>
        <v>Normal</v>
      </c>
      <c r="S517">
        <v>3</v>
      </c>
      <c r="T517">
        <v>553.52</v>
      </c>
      <c r="U517">
        <v>4</v>
      </c>
      <c r="V517">
        <v>1660.56</v>
      </c>
    </row>
    <row r="518" spans="1:22" x14ac:dyDescent="0.25">
      <c r="A518" t="s">
        <v>1978</v>
      </c>
      <c r="B518" s="1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  <c r="O518" t="str">
        <f>IF(OR($N518&lt;EDA_Summary!$B$14,$N518&gt;EDA_Summary!$B$15), "Outlier", "Normal")</f>
        <v>Normal</v>
      </c>
      <c r="S518">
        <v>3</v>
      </c>
      <c r="T518">
        <v>166.99</v>
      </c>
      <c r="U518">
        <v>8</v>
      </c>
      <c r="V518">
        <v>500.97</v>
      </c>
    </row>
    <row r="519" spans="1:22" x14ac:dyDescent="0.25">
      <c r="A519" t="s">
        <v>1981</v>
      </c>
      <c r="B519" s="1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  <c r="O519" t="str">
        <f>IF(OR($N519&lt;EDA_Summary!$B$14,$N519&gt;EDA_Summary!$B$15), "Outlier", "Normal")</f>
        <v>Normal</v>
      </c>
      <c r="S519">
        <v>4</v>
      </c>
      <c r="T519">
        <v>198.35</v>
      </c>
      <c r="U519">
        <v>7</v>
      </c>
      <c r="V519">
        <v>793.4</v>
      </c>
    </row>
    <row r="520" spans="1:22" x14ac:dyDescent="0.25">
      <c r="A520" t="s">
        <v>1984</v>
      </c>
      <c r="B520" s="1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  <c r="O520" t="str">
        <f>IF(OR($N520&lt;EDA_Summary!$B$14,$N520&gt;EDA_Summary!$B$15), "Outlier", "Normal")</f>
        <v>Normal</v>
      </c>
      <c r="S520">
        <v>4</v>
      </c>
      <c r="T520">
        <v>403.58</v>
      </c>
      <c r="U520">
        <v>9</v>
      </c>
      <c r="V520">
        <v>1614.32</v>
      </c>
    </row>
    <row r="521" spans="1:22" x14ac:dyDescent="0.25">
      <c r="A521" t="s">
        <v>1987</v>
      </c>
      <c r="B521" s="1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  <c r="O521" t="str">
        <f>IF(OR($N521&lt;EDA_Summary!$B$14,$N521&gt;EDA_Summary!$B$15), "Outlier", "Normal")</f>
        <v>Normal</v>
      </c>
      <c r="S521">
        <v>4</v>
      </c>
      <c r="T521">
        <v>464.29</v>
      </c>
      <c r="U521">
        <v>5</v>
      </c>
      <c r="V521">
        <v>1857.16</v>
      </c>
    </row>
    <row r="522" spans="1:22" x14ac:dyDescent="0.25">
      <c r="A522" t="s">
        <v>1991</v>
      </c>
      <c r="B522" s="1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  <c r="O522" t="str">
        <f>IF(OR($N522&lt;EDA_Summary!$B$14,$N522&gt;EDA_Summary!$B$15), "Outlier", "Normal")</f>
        <v>Normal</v>
      </c>
      <c r="S522">
        <v>3</v>
      </c>
      <c r="T522">
        <v>635.98</v>
      </c>
      <c r="U522">
        <v>5</v>
      </c>
      <c r="V522">
        <v>1907.94</v>
      </c>
    </row>
    <row r="523" spans="1:22" x14ac:dyDescent="0.25">
      <c r="A523" t="s">
        <v>1995</v>
      </c>
      <c r="B523" s="1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  <c r="O523" t="str">
        <f>IF(OR($N523&lt;EDA_Summary!$B$14,$N523&gt;EDA_Summary!$B$15), "Outlier", "Normal")</f>
        <v>Normal</v>
      </c>
      <c r="S523">
        <v>1</v>
      </c>
      <c r="T523">
        <v>528.05999999999995</v>
      </c>
      <c r="U523">
        <v>2</v>
      </c>
      <c r="V523">
        <v>528.05999999999995</v>
      </c>
    </row>
    <row r="524" spans="1:22" x14ac:dyDescent="0.25">
      <c r="A524" t="s">
        <v>1999</v>
      </c>
      <c r="B524" s="1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  <c r="O524" t="str">
        <f>IF(OR($N524&lt;EDA_Summary!$B$14,$N524&gt;EDA_Summary!$B$15), "Outlier", "Normal")</f>
        <v>Normal</v>
      </c>
      <c r="S524">
        <v>1</v>
      </c>
      <c r="T524">
        <v>515.32000000000005</v>
      </c>
      <c r="U524">
        <v>1</v>
      </c>
      <c r="V524">
        <v>515.32000000000005</v>
      </c>
    </row>
    <row r="525" spans="1:22" x14ac:dyDescent="0.25">
      <c r="A525" t="s">
        <v>2002</v>
      </c>
      <c r="B525" s="1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  <c r="O525" t="str">
        <f>IF(OR($N525&lt;EDA_Summary!$B$14,$N525&gt;EDA_Summary!$B$15), "Outlier", "Normal")</f>
        <v>Normal</v>
      </c>
      <c r="S525">
        <v>4</v>
      </c>
      <c r="T525">
        <v>657.79</v>
      </c>
      <c r="U525">
        <v>6</v>
      </c>
      <c r="V525">
        <v>2631.16</v>
      </c>
    </row>
    <row r="526" spans="1:22" x14ac:dyDescent="0.25">
      <c r="A526" t="s">
        <v>2005</v>
      </c>
      <c r="B526" s="1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  <c r="O526" t="str">
        <f>IF(OR($N526&lt;EDA_Summary!$B$14,$N526&gt;EDA_Summary!$B$15), "Outlier", "Normal")</f>
        <v>Normal</v>
      </c>
      <c r="S526">
        <v>1</v>
      </c>
      <c r="T526">
        <v>153</v>
      </c>
      <c r="U526">
        <v>4</v>
      </c>
      <c r="V526">
        <v>153</v>
      </c>
    </row>
    <row r="527" spans="1:22" x14ac:dyDescent="0.25">
      <c r="A527" t="s">
        <v>2008</v>
      </c>
      <c r="B527" s="1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  <c r="O527" t="str">
        <f>IF(OR($N527&lt;EDA_Summary!$B$14,$N527&gt;EDA_Summary!$B$15), "Outlier", "Normal")</f>
        <v>Normal</v>
      </c>
      <c r="S527">
        <v>1</v>
      </c>
      <c r="T527">
        <v>668.48</v>
      </c>
      <c r="U527">
        <v>1</v>
      </c>
      <c r="V527">
        <v>668.48</v>
      </c>
    </row>
    <row r="528" spans="1:22" x14ac:dyDescent="0.25">
      <c r="A528" t="s">
        <v>2011</v>
      </c>
      <c r="B528" s="1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  <c r="O528" t="str">
        <f>IF(OR($N528&lt;EDA_Summary!$B$14,$N528&gt;EDA_Summary!$B$15), "Outlier", "Normal")</f>
        <v>Normal</v>
      </c>
      <c r="S528">
        <v>2</v>
      </c>
      <c r="T528">
        <v>46.5</v>
      </c>
      <c r="U528">
        <v>7</v>
      </c>
      <c r="V528">
        <v>93</v>
      </c>
    </row>
    <row r="529" spans="1:22" x14ac:dyDescent="0.25">
      <c r="A529" t="s">
        <v>2014</v>
      </c>
      <c r="B529" s="1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  <c r="O529" t="str">
        <f>IF(OR($N529&lt;EDA_Summary!$B$14,$N529&gt;EDA_Summary!$B$15), "Outlier", "Normal")</f>
        <v>Normal</v>
      </c>
      <c r="S529">
        <v>5</v>
      </c>
      <c r="T529">
        <v>653.47</v>
      </c>
      <c r="U529">
        <v>10</v>
      </c>
      <c r="V529">
        <v>3267.35</v>
      </c>
    </row>
    <row r="530" spans="1:22" x14ac:dyDescent="0.25">
      <c r="A530" t="s">
        <v>2017</v>
      </c>
      <c r="B530" s="1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  <c r="O530" t="str">
        <f>IF(OR($N530&lt;EDA_Summary!$B$14,$N530&gt;EDA_Summary!$B$15), "Outlier", "Normal")</f>
        <v>Normal</v>
      </c>
      <c r="S530">
        <v>1</v>
      </c>
      <c r="T530">
        <v>628.89</v>
      </c>
      <c r="U530">
        <v>2</v>
      </c>
      <c r="V530">
        <v>628.89</v>
      </c>
    </row>
    <row r="531" spans="1:22" x14ac:dyDescent="0.25">
      <c r="A531" t="s">
        <v>2020</v>
      </c>
      <c r="B531" s="1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  <c r="O531" t="str">
        <f>IF(OR($N531&lt;EDA_Summary!$B$14,$N531&gt;EDA_Summary!$B$15), "Outlier", "Normal")</f>
        <v>Normal</v>
      </c>
      <c r="S531">
        <v>2</v>
      </c>
      <c r="T531">
        <v>675.1</v>
      </c>
      <c r="U531">
        <v>4</v>
      </c>
      <c r="V531">
        <v>1350.2</v>
      </c>
    </row>
    <row r="532" spans="1:22" x14ac:dyDescent="0.25">
      <c r="A532" t="s">
        <v>2024</v>
      </c>
      <c r="B532" s="1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  <c r="O532" t="str">
        <f>IF(OR($N532&lt;EDA_Summary!$B$14,$N532&gt;EDA_Summary!$B$15), "Outlier", "Normal")</f>
        <v>Normal</v>
      </c>
      <c r="S532">
        <v>4</v>
      </c>
      <c r="T532">
        <v>89.41</v>
      </c>
      <c r="U532">
        <v>9</v>
      </c>
      <c r="V532">
        <v>357.64</v>
      </c>
    </row>
    <row r="533" spans="1:22" x14ac:dyDescent="0.25">
      <c r="A533" t="s">
        <v>2028</v>
      </c>
      <c r="B533" s="1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  <c r="O533" t="str">
        <f>IF(OR($N533&lt;EDA_Summary!$B$14,$N533&gt;EDA_Summary!$B$15), "Outlier", "Normal")</f>
        <v>Normal</v>
      </c>
      <c r="S533">
        <v>5</v>
      </c>
      <c r="T533">
        <v>320.01</v>
      </c>
      <c r="U533">
        <v>6</v>
      </c>
      <c r="V533">
        <v>1600.05</v>
      </c>
    </row>
    <row r="534" spans="1:22" x14ac:dyDescent="0.25">
      <c r="A534" t="s">
        <v>2032</v>
      </c>
      <c r="B534" s="1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  <c r="O534" t="str">
        <f>IF(OR($N534&lt;EDA_Summary!$B$14,$N534&gt;EDA_Summary!$B$15), "Outlier", "Normal")</f>
        <v>Normal</v>
      </c>
      <c r="S534">
        <v>2</v>
      </c>
      <c r="T534">
        <v>41</v>
      </c>
      <c r="U534">
        <v>7</v>
      </c>
      <c r="V534">
        <v>82</v>
      </c>
    </row>
    <row r="535" spans="1:22" x14ac:dyDescent="0.25">
      <c r="A535" t="s">
        <v>2036</v>
      </c>
      <c r="B535" s="1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  <c r="O535" t="str">
        <f>IF(OR($N535&lt;EDA_Summary!$B$14,$N535&gt;EDA_Summary!$B$15), "Outlier", "Normal")</f>
        <v>Normal</v>
      </c>
      <c r="S535">
        <v>1</v>
      </c>
      <c r="T535">
        <v>565.85</v>
      </c>
      <c r="U535">
        <v>1</v>
      </c>
      <c r="V535">
        <v>565.85</v>
      </c>
    </row>
    <row r="536" spans="1:22" x14ac:dyDescent="0.25">
      <c r="A536" t="s">
        <v>2039</v>
      </c>
      <c r="B536" s="1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  <c r="O536" t="str">
        <f>IF(OR($N536&lt;EDA_Summary!$B$14,$N536&gt;EDA_Summary!$B$15), "Outlier", "Normal")</f>
        <v>Normal</v>
      </c>
      <c r="S536">
        <v>3</v>
      </c>
      <c r="T536">
        <v>648.59</v>
      </c>
      <c r="U536">
        <v>4</v>
      </c>
      <c r="V536">
        <v>1945.77</v>
      </c>
    </row>
    <row r="537" spans="1:22" x14ac:dyDescent="0.25">
      <c r="A537" t="s">
        <v>2043</v>
      </c>
      <c r="B537" s="1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  <c r="O537" t="str">
        <f>IF(OR($N537&lt;EDA_Summary!$B$14,$N537&gt;EDA_Summary!$B$15), "Outlier", "Normal")</f>
        <v>Normal</v>
      </c>
      <c r="S537">
        <v>3</v>
      </c>
      <c r="T537">
        <v>68.12</v>
      </c>
      <c r="U537">
        <v>3</v>
      </c>
      <c r="V537">
        <v>204.36</v>
      </c>
    </row>
    <row r="538" spans="1:22" x14ac:dyDescent="0.25">
      <c r="A538" t="s">
        <v>2046</v>
      </c>
      <c r="B538" s="1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  <c r="O538" t="str">
        <f>IF(OR($N538&lt;EDA_Summary!$B$14,$N538&gt;EDA_Summary!$B$15), "Outlier", "Normal")</f>
        <v>Normal</v>
      </c>
      <c r="S538">
        <v>1</v>
      </c>
      <c r="T538">
        <v>616.1</v>
      </c>
      <c r="U538">
        <v>6</v>
      </c>
      <c r="V538">
        <v>616.1</v>
      </c>
    </row>
    <row r="539" spans="1:22" x14ac:dyDescent="0.25">
      <c r="A539" t="s">
        <v>2050</v>
      </c>
      <c r="B539" s="1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  <c r="O539" t="str">
        <f>IF(OR($N539&lt;EDA_Summary!$B$14,$N539&gt;EDA_Summary!$B$15), "Outlier", "Normal")</f>
        <v>Normal</v>
      </c>
      <c r="S539">
        <v>3</v>
      </c>
      <c r="T539">
        <v>247.47</v>
      </c>
      <c r="U539">
        <v>4</v>
      </c>
      <c r="V539">
        <v>742.41</v>
      </c>
    </row>
    <row r="540" spans="1:22" x14ac:dyDescent="0.25">
      <c r="A540" t="s">
        <v>2053</v>
      </c>
      <c r="B540" s="1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  <c r="O540" t="str">
        <f>IF(OR($N540&lt;EDA_Summary!$B$14,$N540&gt;EDA_Summary!$B$15), "Outlier", "Normal")</f>
        <v>Normal</v>
      </c>
      <c r="S540">
        <v>3</v>
      </c>
      <c r="T540">
        <v>490.74</v>
      </c>
      <c r="U540">
        <v>3</v>
      </c>
      <c r="V540">
        <v>1472.22</v>
      </c>
    </row>
    <row r="541" spans="1:22" x14ac:dyDescent="0.25">
      <c r="A541" t="s">
        <v>2057</v>
      </c>
      <c r="B541" s="1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  <c r="O541" t="str">
        <f>IF(OR($N541&lt;EDA_Summary!$B$14,$N541&gt;EDA_Summary!$B$15), "Outlier", "Normal")</f>
        <v>Normal</v>
      </c>
      <c r="S541">
        <v>3</v>
      </c>
      <c r="T541">
        <v>531.72</v>
      </c>
      <c r="U541">
        <v>7</v>
      </c>
      <c r="V541">
        <v>1595.16</v>
      </c>
    </row>
    <row r="542" spans="1:22" x14ac:dyDescent="0.25">
      <c r="A542" t="s">
        <v>2061</v>
      </c>
      <c r="B542" s="1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  <c r="O542" t="str">
        <f>IF(OR($N542&lt;EDA_Summary!$B$14,$N542&gt;EDA_Summary!$B$15), "Outlier", "Normal")</f>
        <v>Normal</v>
      </c>
      <c r="S542">
        <v>5</v>
      </c>
      <c r="T542">
        <v>648.65</v>
      </c>
      <c r="U542">
        <v>7</v>
      </c>
      <c r="V542">
        <v>3243.25</v>
      </c>
    </row>
    <row r="543" spans="1:22" x14ac:dyDescent="0.25">
      <c r="A543" t="s">
        <v>2065</v>
      </c>
      <c r="B543" s="1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  <c r="O543" t="str">
        <f>IF(OR($N543&lt;EDA_Summary!$B$14,$N543&gt;EDA_Summary!$B$15), "Outlier", "Normal")</f>
        <v>Normal</v>
      </c>
      <c r="S543">
        <v>5</v>
      </c>
      <c r="T543">
        <v>456.06</v>
      </c>
      <c r="U543">
        <v>10</v>
      </c>
      <c r="V543">
        <v>2280.3000000000002</v>
      </c>
    </row>
    <row r="544" spans="1:22" x14ac:dyDescent="0.25">
      <c r="A544" t="s">
        <v>2069</v>
      </c>
      <c r="B544" s="1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  <c r="O544" t="str">
        <f>IF(OR($N544&lt;EDA_Summary!$B$14,$N544&gt;EDA_Summary!$B$15), "Outlier", "Normal")</f>
        <v>Normal</v>
      </c>
      <c r="S544">
        <v>1</v>
      </c>
      <c r="T544">
        <v>17.98</v>
      </c>
      <c r="U544">
        <v>6</v>
      </c>
      <c r="V544">
        <v>17.98</v>
      </c>
    </row>
    <row r="545" spans="1:22" x14ac:dyDescent="0.25">
      <c r="A545" t="s">
        <v>2072</v>
      </c>
      <c r="B545" s="1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  <c r="O545" t="str">
        <f>IF(OR($N545&lt;EDA_Summary!$B$14,$N545&gt;EDA_Summary!$B$15), "Outlier", "Normal")</f>
        <v>Normal</v>
      </c>
      <c r="S545">
        <v>5</v>
      </c>
      <c r="T545">
        <v>269.86</v>
      </c>
      <c r="U545">
        <v>6</v>
      </c>
      <c r="V545">
        <v>1349.3</v>
      </c>
    </row>
    <row r="546" spans="1:22" x14ac:dyDescent="0.25">
      <c r="A546" t="s">
        <v>2075</v>
      </c>
      <c r="B546" s="1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  <c r="O546" t="str">
        <f>IF(OR($N546&lt;EDA_Summary!$B$14,$N546&gt;EDA_Summary!$B$15), "Outlier", "Normal")</f>
        <v>Normal</v>
      </c>
      <c r="S546">
        <v>5</v>
      </c>
      <c r="T546">
        <v>31.96</v>
      </c>
      <c r="U546">
        <v>5</v>
      </c>
      <c r="V546">
        <v>159.80000000000001</v>
      </c>
    </row>
    <row r="547" spans="1:22" x14ac:dyDescent="0.25">
      <c r="A547" t="s">
        <v>2078</v>
      </c>
      <c r="B547" s="1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  <c r="O547" t="str">
        <f>IF(OR($N547&lt;EDA_Summary!$B$14,$N547&gt;EDA_Summary!$B$15), "Outlier", "Normal")</f>
        <v>Normal</v>
      </c>
      <c r="S547">
        <v>2</v>
      </c>
      <c r="T547">
        <v>98.47</v>
      </c>
      <c r="U547">
        <v>3</v>
      </c>
      <c r="V547">
        <v>196.94</v>
      </c>
    </row>
    <row r="548" spans="1:22" x14ac:dyDescent="0.25">
      <c r="A548" t="s">
        <v>2082</v>
      </c>
      <c r="B548" s="1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  <c r="O548" t="str">
        <f>IF(OR($N548&lt;EDA_Summary!$B$14,$N548&gt;EDA_Summary!$B$15), "Outlier", "Normal")</f>
        <v>Normal</v>
      </c>
      <c r="S548">
        <v>1</v>
      </c>
      <c r="T548">
        <v>158.68</v>
      </c>
      <c r="U548">
        <v>6</v>
      </c>
      <c r="V548">
        <v>158.68</v>
      </c>
    </row>
    <row r="549" spans="1:22" x14ac:dyDescent="0.25">
      <c r="A549" t="s">
        <v>2085</v>
      </c>
      <c r="B549" s="1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  <c r="O549" t="str">
        <f>IF(OR($N549&lt;EDA_Summary!$B$14,$N549&gt;EDA_Summary!$B$15), "Outlier", "Normal")</f>
        <v>Normal</v>
      </c>
      <c r="S549">
        <v>1</v>
      </c>
      <c r="T549">
        <v>613.98</v>
      </c>
      <c r="U549">
        <v>4</v>
      </c>
      <c r="V549">
        <v>613.98</v>
      </c>
    </row>
    <row r="550" spans="1:22" x14ac:dyDescent="0.25">
      <c r="A550" t="s">
        <v>2089</v>
      </c>
      <c r="B550" s="1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  <c r="O550" t="str">
        <f>IF(OR($N550&lt;EDA_Summary!$B$14,$N550&gt;EDA_Summary!$B$15), "Outlier", "Normal")</f>
        <v>Normal</v>
      </c>
      <c r="S550">
        <v>3</v>
      </c>
      <c r="T550">
        <v>426.12</v>
      </c>
      <c r="U550">
        <v>5</v>
      </c>
      <c r="V550">
        <v>1278.3599999999999</v>
      </c>
    </row>
    <row r="551" spans="1:22" x14ac:dyDescent="0.25">
      <c r="A551" t="s">
        <v>2092</v>
      </c>
      <c r="B551" s="1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  <c r="O551" t="str">
        <f>IF(OR($N551&lt;EDA_Summary!$B$14,$N551&gt;EDA_Summary!$B$15), "Outlier", "Normal")</f>
        <v>Normal</v>
      </c>
      <c r="S551">
        <v>4</v>
      </c>
      <c r="T551">
        <v>629.88</v>
      </c>
      <c r="U551">
        <v>8</v>
      </c>
      <c r="V551">
        <v>2519.52</v>
      </c>
    </row>
    <row r="552" spans="1:22" x14ac:dyDescent="0.25">
      <c r="A552" t="s">
        <v>2096</v>
      </c>
      <c r="B552" s="1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  <c r="O552" t="str">
        <f>IF(OR($N552&lt;EDA_Summary!$B$14,$N552&gt;EDA_Summary!$B$15), "Outlier", "Normal")</f>
        <v>Normal</v>
      </c>
      <c r="S552">
        <v>4</v>
      </c>
      <c r="T552">
        <v>228.91</v>
      </c>
      <c r="U552">
        <v>4</v>
      </c>
      <c r="V552">
        <v>915.64</v>
      </c>
    </row>
    <row r="553" spans="1:22" x14ac:dyDescent="0.25">
      <c r="A553" t="s">
        <v>2099</v>
      </c>
      <c r="B553" s="1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  <c r="O553" t="str">
        <f>IF(OR($N553&lt;EDA_Summary!$B$14,$N553&gt;EDA_Summary!$B$15), "Outlier", "Normal")</f>
        <v>Normal</v>
      </c>
      <c r="S553">
        <v>1</v>
      </c>
      <c r="T553">
        <v>120.98</v>
      </c>
      <c r="U553">
        <v>6</v>
      </c>
      <c r="V553">
        <v>120.98</v>
      </c>
    </row>
    <row r="554" spans="1:22" x14ac:dyDescent="0.25">
      <c r="A554" t="s">
        <v>2102</v>
      </c>
      <c r="B554" s="1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  <c r="O554" t="str">
        <f>IF(OR($N554&lt;EDA_Summary!$B$14,$N554&gt;EDA_Summary!$B$15), "Outlier", "Normal")</f>
        <v>Normal</v>
      </c>
      <c r="S554">
        <v>4</v>
      </c>
      <c r="T554">
        <v>425.18</v>
      </c>
      <c r="U554">
        <v>8</v>
      </c>
      <c r="V554">
        <v>1700.72</v>
      </c>
    </row>
    <row r="555" spans="1:22" x14ac:dyDescent="0.25">
      <c r="A555" t="s">
        <v>2105</v>
      </c>
      <c r="B555" s="1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  <c r="O555" t="str">
        <f>IF(OR($N555&lt;EDA_Summary!$B$14,$N555&gt;EDA_Summary!$B$15), "Outlier", "Normal")</f>
        <v>Normal</v>
      </c>
      <c r="S555">
        <v>2</v>
      </c>
      <c r="T555">
        <v>333.83</v>
      </c>
      <c r="U555">
        <v>4</v>
      </c>
      <c r="V555">
        <v>667.66</v>
      </c>
    </row>
    <row r="556" spans="1:22" x14ac:dyDescent="0.25">
      <c r="A556" t="s">
        <v>2109</v>
      </c>
      <c r="B556" s="1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  <c r="O556" t="str">
        <f>IF(OR($N556&lt;EDA_Summary!$B$14,$N556&gt;EDA_Summary!$B$15), "Outlier", "Normal")</f>
        <v>Normal</v>
      </c>
      <c r="S556">
        <v>2</v>
      </c>
      <c r="T556">
        <v>492.9</v>
      </c>
      <c r="U556">
        <v>5</v>
      </c>
      <c r="V556">
        <v>985.8</v>
      </c>
    </row>
    <row r="557" spans="1:22" x14ac:dyDescent="0.25">
      <c r="A557" t="s">
        <v>2112</v>
      </c>
      <c r="B557" s="1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  <c r="O557" t="str">
        <f>IF(OR($N557&lt;EDA_Summary!$B$14,$N557&gt;EDA_Summary!$B$15), "Outlier", "Normal")</f>
        <v>Normal</v>
      </c>
      <c r="S557">
        <v>1</v>
      </c>
      <c r="T557">
        <v>92.04</v>
      </c>
      <c r="U557">
        <v>2</v>
      </c>
      <c r="V557">
        <v>92.04</v>
      </c>
    </row>
    <row r="558" spans="1:22" x14ac:dyDescent="0.25">
      <c r="A558" t="s">
        <v>2115</v>
      </c>
      <c r="B558" s="1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  <c r="O558" t="str">
        <f>IF(OR($N558&lt;EDA_Summary!$B$14,$N558&gt;EDA_Summary!$B$15), "Outlier", "Normal")</f>
        <v>Normal</v>
      </c>
      <c r="S558">
        <v>1</v>
      </c>
      <c r="T558">
        <v>654.27</v>
      </c>
      <c r="U558">
        <v>2</v>
      </c>
      <c r="V558">
        <v>654.27</v>
      </c>
    </row>
    <row r="559" spans="1:22" x14ac:dyDescent="0.25">
      <c r="A559" t="s">
        <v>2119</v>
      </c>
      <c r="B559" s="1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  <c r="O559" t="str">
        <f>IF(OR($N559&lt;EDA_Summary!$B$14,$N559&gt;EDA_Summary!$B$15), "Outlier", "Normal")</f>
        <v>Normal</v>
      </c>
      <c r="S559">
        <v>1</v>
      </c>
      <c r="T559">
        <v>56.2</v>
      </c>
      <c r="U559">
        <v>1</v>
      </c>
      <c r="V559">
        <v>56.2</v>
      </c>
    </row>
    <row r="560" spans="1:22" x14ac:dyDescent="0.25">
      <c r="A560" t="s">
        <v>2123</v>
      </c>
      <c r="B560" s="1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  <c r="O560" t="str">
        <f>IF(OR($N560&lt;EDA_Summary!$B$14,$N560&gt;EDA_Summary!$B$15), "Outlier", "Normal")</f>
        <v>Normal</v>
      </c>
      <c r="S560">
        <v>4</v>
      </c>
      <c r="T560">
        <v>628.12</v>
      </c>
      <c r="U560">
        <v>6</v>
      </c>
      <c r="V560">
        <v>2512.48</v>
      </c>
    </row>
    <row r="561" spans="1:22" x14ac:dyDescent="0.25">
      <c r="A561" t="s">
        <v>2127</v>
      </c>
      <c r="B561" s="1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  <c r="O561" t="str">
        <f>IF(OR($N561&lt;EDA_Summary!$B$14,$N561&gt;EDA_Summary!$B$15), "Outlier", "Normal")</f>
        <v>Normal</v>
      </c>
      <c r="S561">
        <v>3</v>
      </c>
      <c r="T561">
        <v>157.4</v>
      </c>
      <c r="U561">
        <v>7</v>
      </c>
      <c r="V561">
        <v>472.2</v>
      </c>
    </row>
    <row r="562" spans="1:22" x14ac:dyDescent="0.25">
      <c r="A562" t="s">
        <v>2130</v>
      </c>
      <c r="B562" s="1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  <c r="O562" t="str">
        <f>IF(OR($N562&lt;EDA_Summary!$B$14,$N562&gt;EDA_Summary!$B$15), "Outlier", "Normal")</f>
        <v>Normal</v>
      </c>
      <c r="S562">
        <v>4</v>
      </c>
      <c r="T562">
        <v>588.85</v>
      </c>
      <c r="U562">
        <v>7</v>
      </c>
      <c r="V562">
        <v>2355.4</v>
      </c>
    </row>
    <row r="563" spans="1:22" x14ac:dyDescent="0.25">
      <c r="A563" t="s">
        <v>2134</v>
      </c>
      <c r="B563" s="1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  <c r="O563" t="str">
        <f>IF(OR($N563&lt;EDA_Summary!$B$14,$N563&gt;EDA_Summary!$B$15), "Outlier", "Normal")</f>
        <v>Normal</v>
      </c>
      <c r="S563">
        <v>2</v>
      </c>
      <c r="T563">
        <v>494.78</v>
      </c>
      <c r="U563">
        <v>2</v>
      </c>
      <c r="V563">
        <v>989.56</v>
      </c>
    </row>
    <row r="564" spans="1:22" x14ac:dyDescent="0.25">
      <c r="A564" t="s">
        <v>2138</v>
      </c>
      <c r="B564" s="1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  <c r="O564" t="str">
        <f>IF(OR($N564&lt;EDA_Summary!$B$14,$N564&gt;EDA_Summary!$B$15), "Outlier", "Normal")</f>
        <v>Normal</v>
      </c>
      <c r="S564">
        <v>3</v>
      </c>
      <c r="T564">
        <v>663.93</v>
      </c>
      <c r="U564">
        <v>6</v>
      </c>
      <c r="V564">
        <v>1991.79</v>
      </c>
    </row>
    <row r="565" spans="1:22" x14ac:dyDescent="0.25">
      <c r="A565" t="s">
        <v>2141</v>
      </c>
      <c r="B565" s="1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  <c r="O565" t="str">
        <f>IF(OR($N565&lt;EDA_Summary!$B$14,$N565&gt;EDA_Summary!$B$15), "Outlier", "Normal")</f>
        <v>Normal</v>
      </c>
      <c r="S565">
        <v>1</v>
      </c>
      <c r="T565">
        <v>132.68</v>
      </c>
      <c r="U565">
        <v>1</v>
      </c>
      <c r="V565">
        <v>132.68</v>
      </c>
    </row>
    <row r="566" spans="1:22" x14ac:dyDescent="0.25">
      <c r="A566" t="s">
        <v>2145</v>
      </c>
      <c r="B566" s="1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  <c r="O566" t="str">
        <f>IF(OR($N566&lt;EDA_Summary!$B$14,$N566&gt;EDA_Summary!$B$15), "Outlier", "Normal")</f>
        <v>Normal</v>
      </c>
      <c r="S566">
        <v>5</v>
      </c>
      <c r="T566">
        <v>364.28</v>
      </c>
      <c r="U566">
        <v>5</v>
      </c>
      <c r="V566">
        <v>1821.4</v>
      </c>
    </row>
    <row r="567" spans="1:22" x14ac:dyDescent="0.25">
      <c r="A567" t="s">
        <v>2149</v>
      </c>
      <c r="B567" s="1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  <c r="O567" t="str">
        <f>IF(OR($N567&lt;EDA_Summary!$B$14,$N567&gt;EDA_Summary!$B$15), "Outlier", "Normal")</f>
        <v>Normal</v>
      </c>
      <c r="S567">
        <v>5</v>
      </c>
      <c r="T567">
        <v>307.98</v>
      </c>
      <c r="U567">
        <v>10</v>
      </c>
      <c r="V567">
        <v>1539.9</v>
      </c>
    </row>
    <row r="568" spans="1:22" x14ac:dyDescent="0.25">
      <c r="A568" t="s">
        <v>2152</v>
      </c>
      <c r="B568" s="1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  <c r="O568" t="str">
        <f>IF(OR($N568&lt;EDA_Summary!$B$14,$N568&gt;EDA_Summary!$B$15), "Outlier", "Normal")</f>
        <v>Normal</v>
      </c>
      <c r="S568">
        <v>4</v>
      </c>
      <c r="T568">
        <v>162.71</v>
      </c>
      <c r="U568">
        <v>7</v>
      </c>
      <c r="V568">
        <v>650.84</v>
      </c>
    </row>
    <row r="569" spans="1:22" x14ac:dyDescent="0.25">
      <c r="A569" t="s">
        <v>2156</v>
      </c>
      <c r="B569" s="1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  <c r="O569" t="str">
        <f>IF(OR($N569&lt;EDA_Summary!$B$14,$N569&gt;EDA_Summary!$B$15), "Outlier", "Normal")</f>
        <v>Normal</v>
      </c>
      <c r="S569">
        <v>5</v>
      </c>
      <c r="T569">
        <v>492.94</v>
      </c>
      <c r="U569">
        <v>10</v>
      </c>
      <c r="V569">
        <v>2464.6999999999998</v>
      </c>
    </row>
    <row r="570" spans="1:22" x14ac:dyDescent="0.25">
      <c r="A570" t="s">
        <v>2159</v>
      </c>
      <c r="B570" s="1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  <c r="O570" t="str">
        <f>IF(OR($N570&lt;EDA_Summary!$B$14,$N570&gt;EDA_Summary!$B$15), "Outlier", "Normal")</f>
        <v>Normal</v>
      </c>
      <c r="S570">
        <v>2</v>
      </c>
      <c r="T570">
        <v>343.99</v>
      </c>
      <c r="U570">
        <v>4</v>
      </c>
      <c r="V570">
        <v>687.98</v>
      </c>
    </row>
    <row r="571" spans="1:22" x14ac:dyDescent="0.25">
      <c r="A571" t="s">
        <v>2162</v>
      </c>
      <c r="B571" s="1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  <c r="O571" t="str">
        <f>IF(OR($N571&lt;EDA_Summary!$B$14,$N571&gt;EDA_Summary!$B$15), "Outlier", "Normal")</f>
        <v>Normal</v>
      </c>
      <c r="S571">
        <v>5</v>
      </c>
      <c r="T571">
        <v>250.68</v>
      </c>
      <c r="U571">
        <v>8</v>
      </c>
      <c r="V571">
        <v>1253.4000000000001</v>
      </c>
    </row>
    <row r="572" spans="1:22" x14ac:dyDescent="0.25">
      <c r="A572" t="s">
        <v>2165</v>
      </c>
      <c r="B572" s="1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  <c r="O572" t="str">
        <f>IF(OR($N572&lt;EDA_Summary!$B$14,$N572&gt;EDA_Summary!$B$15), "Outlier", "Normal")</f>
        <v>Normal</v>
      </c>
      <c r="S572">
        <v>2</v>
      </c>
      <c r="T572">
        <v>362.14</v>
      </c>
      <c r="U572">
        <v>2</v>
      </c>
      <c r="V572">
        <v>724.28</v>
      </c>
    </row>
    <row r="573" spans="1:22" x14ac:dyDescent="0.25">
      <c r="A573" t="s">
        <v>2168</v>
      </c>
      <c r="B573" s="1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  <c r="O573" t="str">
        <f>IF(OR($N573&lt;EDA_Summary!$B$14,$N573&gt;EDA_Summary!$B$15), "Outlier", "Normal")</f>
        <v>Normal</v>
      </c>
      <c r="S573">
        <v>1</v>
      </c>
      <c r="T573">
        <v>214.08</v>
      </c>
      <c r="U573">
        <v>2</v>
      </c>
      <c r="V573">
        <v>214.08</v>
      </c>
    </row>
    <row r="574" spans="1:22" x14ac:dyDescent="0.25">
      <c r="A574" t="s">
        <v>2171</v>
      </c>
      <c r="B574" s="1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  <c r="O574" t="str">
        <f>IF(OR($N574&lt;EDA_Summary!$B$14,$N574&gt;EDA_Summary!$B$15), "Outlier", "Normal")</f>
        <v>Normal</v>
      </c>
      <c r="S574">
        <v>1</v>
      </c>
      <c r="T574">
        <v>70.319999999999993</v>
      </c>
      <c r="U574">
        <v>4</v>
      </c>
      <c r="V574">
        <v>70.319999999999993</v>
      </c>
    </row>
    <row r="575" spans="1:22" x14ac:dyDescent="0.25">
      <c r="A575" t="s">
        <v>2174</v>
      </c>
      <c r="B575" s="1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  <c r="O575" t="str">
        <f>IF(OR($N575&lt;EDA_Summary!$B$14,$N575&gt;EDA_Summary!$B$15), "Outlier", "Normal")</f>
        <v>Normal</v>
      </c>
      <c r="S575">
        <v>5</v>
      </c>
      <c r="T575">
        <v>421.42</v>
      </c>
      <c r="U575">
        <v>7</v>
      </c>
      <c r="V575">
        <v>2107.1</v>
      </c>
    </row>
    <row r="576" spans="1:22" x14ac:dyDescent="0.25">
      <c r="A576" t="s">
        <v>2177</v>
      </c>
      <c r="B576" s="1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  <c r="O576" t="str">
        <f>IF(OR($N576&lt;EDA_Summary!$B$14,$N576&gt;EDA_Summary!$B$15), "Outlier", "Normal")</f>
        <v>Normal</v>
      </c>
      <c r="S576">
        <v>5</v>
      </c>
      <c r="T576">
        <v>384.69</v>
      </c>
      <c r="U576">
        <v>6</v>
      </c>
      <c r="V576">
        <v>1923.45</v>
      </c>
    </row>
    <row r="577" spans="1:22" x14ac:dyDescent="0.25">
      <c r="A577" t="s">
        <v>2180</v>
      </c>
      <c r="B577" s="1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  <c r="O577" t="str">
        <f>IF(OR($N577&lt;EDA_Summary!$B$14,$N577&gt;EDA_Summary!$B$15), "Outlier", "Normal")</f>
        <v>Normal</v>
      </c>
      <c r="S577">
        <v>5</v>
      </c>
      <c r="T577">
        <v>448.15</v>
      </c>
      <c r="U577">
        <v>7</v>
      </c>
      <c r="V577">
        <v>2240.75</v>
      </c>
    </row>
    <row r="578" spans="1:22" x14ac:dyDescent="0.25">
      <c r="A578" t="s">
        <v>2184</v>
      </c>
      <c r="B578" s="1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  <c r="O578" t="str">
        <f>IF(OR($N578&lt;EDA_Summary!$B$14,$N578&gt;EDA_Summary!$B$15), "Outlier", "Normal")</f>
        <v>Normal</v>
      </c>
      <c r="S578">
        <v>5</v>
      </c>
      <c r="T578">
        <v>79.08</v>
      </c>
      <c r="U578">
        <v>8</v>
      </c>
      <c r="V578">
        <v>395.4</v>
      </c>
    </row>
    <row r="579" spans="1:22" x14ac:dyDescent="0.25">
      <c r="A579" t="s">
        <v>2187</v>
      </c>
      <c r="B579" s="1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  <c r="O579" t="str">
        <f>IF(OR($N579&lt;EDA_Summary!$B$14,$N579&gt;EDA_Summary!$B$15), "Outlier", "Normal")</f>
        <v>Normal</v>
      </c>
      <c r="S579">
        <v>4</v>
      </c>
      <c r="T579">
        <v>185.41</v>
      </c>
      <c r="U579">
        <v>9</v>
      </c>
      <c r="V579">
        <v>741.64</v>
      </c>
    </row>
    <row r="580" spans="1:22" x14ac:dyDescent="0.25">
      <c r="A580" t="s">
        <v>2190</v>
      </c>
      <c r="B580" s="1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  <c r="O580" t="str">
        <f>IF(OR($N580&lt;EDA_Summary!$B$14,$N580&gt;EDA_Summary!$B$15), "Outlier", "Normal")</f>
        <v>Normal</v>
      </c>
      <c r="S580">
        <v>5</v>
      </c>
      <c r="T580">
        <v>566.07000000000005</v>
      </c>
      <c r="U580">
        <v>6</v>
      </c>
      <c r="V580">
        <v>2830.35</v>
      </c>
    </row>
    <row r="581" spans="1:22" x14ac:dyDescent="0.25">
      <c r="A581" t="s">
        <v>2193</v>
      </c>
      <c r="B581" s="1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  <c r="O581" t="str">
        <f>IF(OR($N581&lt;EDA_Summary!$B$14,$N581&gt;EDA_Summary!$B$15), "Outlier", "Normal")</f>
        <v>Normal</v>
      </c>
      <c r="S581">
        <v>2</v>
      </c>
      <c r="T581">
        <v>187.88</v>
      </c>
      <c r="U581">
        <v>4</v>
      </c>
      <c r="V581">
        <v>375.76</v>
      </c>
    </row>
    <row r="582" spans="1:22" x14ac:dyDescent="0.25">
      <c r="A582" t="s">
        <v>2196</v>
      </c>
      <c r="B582" s="1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  <c r="O582" t="str">
        <f>IF(OR($N582&lt;EDA_Summary!$B$14,$N582&gt;EDA_Summary!$B$15), "Outlier", "Normal")</f>
        <v>Normal</v>
      </c>
      <c r="S582">
        <v>2</v>
      </c>
      <c r="T582">
        <v>255.99</v>
      </c>
      <c r="U582">
        <v>4</v>
      </c>
      <c r="V582">
        <v>511.98</v>
      </c>
    </row>
    <row r="583" spans="1:22" x14ac:dyDescent="0.25">
      <c r="A583" t="s">
        <v>2200</v>
      </c>
      <c r="B583" s="1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  <c r="O583" t="str">
        <f>IF(OR($N583&lt;EDA_Summary!$B$14,$N583&gt;EDA_Summary!$B$15), "Outlier", "Normal")</f>
        <v>Normal</v>
      </c>
      <c r="S583">
        <v>1</v>
      </c>
      <c r="T583">
        <v>627.34</v>
      </c>
      <c r="U583">
        <v>1</v>
      </c>
      <c r="V583">
        <v>627.34</v>
      </c>
    </row>
    <row r="584" spans="1:22" x14ac:dyDescent="0.25">
      <c r="A584" t="s">
        <v>2203</v>
      </c>
      <c r="B584" s="1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  <c r="O584" t="str">
        <f>IF(OR($N584&lt;EDA_Summary!$B$14,$N584&gt;EDA_Summary!$B$15), "Outlier", "Normal")</f>
        <v>Normal</v>
      </c>
      <c r="S584">
        <v>3</v>
      </c>
      <c r="T584">
        <v>474.14</v>
      </c>
      <c r="U584">
        <v>8</v>
      </c>
      <c r="V584">
        <v>1422.42</v>
      </c>
    </row>
    <row r="585" spans="1:22" x14ac:dyDescent="0.25">
      <c r="A585" t="s">
        <v>2206</v>
      </c>
      <c r="B585" s="1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  <c r="O585" t="str">
        <f>IF(OR($N585&lt;EDA_Summary!$B$14,$N585&gt;EDA_Summary!$B$15), "Outlier", "Normal")</f>
        <v>Normal</v>
      </c>
      <c r="S585">
        <v>3</v>
      </c>
      <c r="T585">
        <v>154.37</v>
      </c>
      <c r="U585">
        <v>4</v>
      </c>
      <c r="V585">
        <v>463.11</v>
      </c>
    </row>
    <row r="586" spans="1:22" x14ac:dyDescent="0.25">
      <c r="A586" t="s">
        <v>2209</v>
      </c>
      <c r="B586" s="1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  <c r="O586" t="str">
        <f>IF(OR($N586&lt;EDA_Summary!$B$14,$N586&gt;EDA_Summary!$B$15), "Outlier", "Normal")</f>
        <v>Normal</v>
      </c>
      <c r="S586">
        <v>4</v>
      </c>
      <c r="T586">
        <v>145.05000000000001</v>
      </c>
      <c r="U586">
        <v>6</v>
      </c>
      <c r="V586">
        <v>580.20000000000005</v>
      </c>
    </row>
    <row r="587" spans="1:22" x14ac:dyDescent="0.25">
      <c r="A587" t="s">
        <v>2213</v>
      </c>
      <c r="B587" s="1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  <c r="O587" t="str">
        <f>IF(OR($N587&lt;EDA_Summary!$B$14,$N587&gt;EDA_Summary!$B$15), "Outlier", "Normal")</f>
        <v>Normal</v>
      </c>
      <c r="S587">
        <v>4</v>
      </c>
      <c r="T587">
        <v>67.08</v>
      </c>
      <c r="U587">
        <v>8</v>
      </c>
      <c r="V587">
        <v>268.32</v>
      </c>
    </row>
    <row r="588" spans="1:22" x14ac:dyDescent="0.25">
      <c r="A588" t="s">
        <v>2216</v>
      </c>
      <c r="B588" s="1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  <c r="O588" t="str">
        <f>IF(OR($N588&lt;EDA_Summary!$B$14,$N588&gt;EDA_Summary!$B$15), "Outlier", "Normal")</f>
        <v>Normal</v>
      </c>
      <c r="S588">
        <v>1</v>
      </c>
      <c r="T588">
        <v>522.08000000000004</v>
      </c>
      <c r="U588">
        <v>5</v>
      </c>
      <c r="V588">
        <v>522.08000000000004</v>
      </c>
    </row>
    <row r="589" spans="1:22" x14ac:dyDescent="0.25">
      <c r="A589" t="s">
        <v>2220</v>
      </c>
      <c r="B589" s="1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  <c r="O589" t="str">
        <f>IF(OR($N589&lt;EDA_Summary!$B$14,$N589&gt;EDA_Summary!$B$15), "Outlier", "Normal")</f>
        <v>Normal</v>
      </c>
      <c r="S589">
        <v>5</v>
      </c>
      <c r="T589">
        <v>514.6</v>
      </c>
      <c r="U589">
        <v>10</v>
      </c>
      <c r="V589">
        <v>2573</v>
      </c>
    </row>
    <row r="590" spans="1:22" x14ac:dyDescent="0.25">
      <c r="A590" t="s">
        <v>2224</v>
      </c>
      <c r="B590" s="1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  <c r="O590" t="str">
        <f>IF(OR($N590&lt;EDA_Summary!$B$14,$N590&gt;EDA_Summary!$B$15), "Outlier", "Normal")</f>
        <v>Normal</v>
      </c>
      <c r="S590">
        <v>4</v>
      </c>
      <c r="T590">
        <v>577.82000000000005</v>
      </c>
      <c r="U590">
        <v>9</v>
      </c>
      <c r="V590">
        <v>2311.2800000000002</v>
      </c>
    </row>
    <row r="591" spans="1:22" x14ac:dyDescent="0.25">
      <c r="A591" t="s">
        <v>2227</v>
      </c>
      <c r="B591" s="1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  <c r="O591" t="str">
        <f>IF(OR($N591&lt;EDA_Summary!$B$14,$N591&gt;EDA_Summary!$B$15), "Outlier", "Normal")</f>
        <v>Normal</v>
      </c>
      <c r="S591">
        <v>2</v>
      </c>
      <c r="T591">
        <v>500.8</v>
      </c>
      <c r="U591">
        <v>3</v>
      </c>
      <c r="V591">
        <v>1001.6</v>
      </c>
    </row>
    <row r="592" spans="1:22" x14ac:dyDescent="0.25">
      <c r="A592" t="s">
        <v>2231</v>
      </c>
      <c r="B592" s="1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  <c r="O592" t="str">
        <f>IF(OR($N592&lt;EDA_Summary!$B$14,$N592&gt;EDA_Summary!$B$15), "Outlier", "Normal")</f>
        <v>Normal</v>
      </c>
      <c r="S592">
        <v>2</v>
      </c>
      <c r="T592">
        <v>461.13</v>
      </c>
      <c r="U592">
        <v>4</v>
      </c>
      <c r="V592">
        <v>922.26</v>
      </c>
    </row>
    <row r="593" spans="1:22" x14ac:dyDescent="0.25">
      <c r="A593" t="s">
        <v>2235</v>
      </c>
      <c r="B593" s="1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  <c r="O593" t="str">
        <f>IF(OR($N593&lt;EDA_Summary!$B$14,$N593&gt;EDA_Summary!$B$15), "Outlier", "Normal")</f>
        <v>Normal</v>
      </c>
      <c r="S593">
        <v>1</v>
      </c>
      <c r="T593">
        <v>605.28</v>
      </c>
      <c r="U593">
        <v>3</v>
      </c>
      <c r="V593">
        <v>605.28</v>
      </c>
    </row>
    <row r="594" spans="1:22" x14ac:dyDescent="0.25">
      <c r="A594" t="s">
        <v>2239</v>
      </c>
      <c r="B594" s="1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  <c r="O594" t="str">
        <f>IF(OR($N594&lt;EDA_Summary!$B$14,$N594&gt;EDA_Summary!$B$15), "Outlier", "Normal")</f>
        <v>Normal</v>
      </c>
      <c r="S594">
        <v>3</v>
      </c>
      <c r="T594">
        <v>204.27</v>
      </c>
      <c r="U594">
        <v>4</v>
      </c>
      <c r="V594">
        <v>612.81000000000006</v>
      </c>
    </row>
    <row r="595" spans="1:22" x14ac:dyDescent="0.25">
      <c r="A595" t="s">
        <v>2242</v>
      </c>
      <c r="B595" s="1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  <c r="O595" t="str">
        <f>IF(OR($N595&lt;EDA_Summary!$B$14,$N595&gt;EDA_Summary!$B$15), "Outlier", "Normal")</f>
        <v>Normal</v>
      </c>
      <c r="S595">
        <v>1</v>
      </c>
      <c r="T595">
        <v>489.8</v>
      </c>
      <c r="U595">
        <v>4</v>
      </c>
      <c r="V595">
        <v>489.8</v>
      </c>
    </row>
    <row r="596" spans="1:22" x14ac:dyDescent="0.25">
      <c r="A596" t="s">
        <v>2245</v>
      </c>
      <c r="B596" s="1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  <c r="O596" t="str">
        <f>IF(OR($N596&lt;EDA_Summary!$B$14,$N596&gt;EDA_Summary!$B$15), "Outlier", "Normal")</f>
        <v>Normal</v>
      </c>
      <c r="S596">
        <v>5</v>
      </c>
      <c r="T596">
        <v>72.64</v>
      </c>
      <c r="U596">
        <v>7</v>
      </c>
      <c r="V596">
        <v>363.2</v>
      </c>
    </row>
    <row r="597" spans="1:22" x14ac:dyDescent="0.25">
      <c r="A597" t="s">
        <v>2248</v>
      </c>
      <c r="B597" s="1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  <c r="O597" t="str">
        <f>IF(OR($N597&lt;EDA_Summary!$B$14,$N597&gt;EDA_Summary!$B$15), "Outlier", "Normal")</f>
        <v>Normal</v>
      </c>
      <c r="S597">
        <v>2</v>
      </c>
      <c r="T597">
        <v>385.16</v>
      </c>
      <c r="U597">
        <v>7</v>
      </c>
      <c r="V597">
        <v>770.32</v>
      </c>
    </row>
    <row r="598" spans="1:22" x14ac:dyDescent="0.25">
      <c r="A598" t="s">
        <v>2252</v>
      </c>
      <c r="B598" s="1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  <c r="O598" t="str">
        <f>IF(OR($N598&lt;EDA_Summary!$B$14,$N598&gt;EDA_Summary!$B$15), "Outlier", "Normal")</f>
        <v>Normal</v>
      </c>
      <c r="S598">
        <v>3</v>
      </c>
      <c r="T598">
        <v>606.41</v>
      </c>
      <c r="U598">
        <v>7</v>
      </c>
      <c r="V598">
        <v>1819.23</v>
      </c>
    </row>
    <row r="599" spans="1:22" x14ac:dyDescent="0.25">
      <c r="A599" t="s">
        <v>2256</v>
      </c>
      <c r="B599" s="1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  <c r="O599" t="str">
        <f>IF(OR($N599&lt;EDA_Summary!$B$14,$N599&gt;EDA_Summary!$B$15), "Outlier", "Normal")</f>
        <v>Normal</v>
      </c>
      <c r="S599">
        <v>2</v>
      </c>
      <c r="T599">
        <v>211.82</v>
      </c>
      <c r="U599">
        <v>4</v>
      </c>
      <c r="V599">
        <v>423.64</v>
      </c>
    </row>
    <row r="600" spans="1:22" x14ac:dyDescent="0.25">
      <c r="A600" t="s">
        <v>2260</v>
      </c>
      <c r="B600" s="1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  <c r="O600" t="str">
        <f>IF(OR($N600&lt;EDA_Summary!$B$14,$N600&gt;EDA_Summary!$B$15), "Outlier", "Normal")</f>
        <v>Normal</v>
      </c>
      <c r="S600">
        <v>5</v>
      </c>
      <c r="T600">
        <v>495.35</v>
      </c>
      <c r="U600">
        <v>5</v>
      </c>
      <c r="V600">
        <v>2476.75</v>
      </c>
    </row>
    <row r="601" spans="1:22" x14ac:dyDescent="0.25">
      <c r="A601" t="s">
        <v>2263</v>
      </c>
      <c r="B601" s="1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  <c r="O601" t="str">
        <f>IF(OR($N601&lt;EDA_Summary!$B$14,$N601&gt;EDA_Summary!$B$15), "Outlier", "Normal")</f>
        <v>Normal</v>
      </c>
      <c r="S601">
        <v>3</v>
      </c>
      <c r="T601">
        <v>556.99</v>
      </c>
      <c r="U601">
        <v>4</v>
      </c>
      <c r="V601">
        <v>1670.97</v>
      </c>
    </row>
    <row r="602" spans="1:22" x14ac:dyDescent="0.25">
      <c r="A602" t="s">
        <v>2266</v>
      </c>
      <c r="B602" s="1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  <c r="O602" t="str">
        <f>IF(OR($N602&lt;EDA_Summary!$B$14,$N602&gt;EDA_Summary!$B$15), "Outlier", "Normal")</f>
        <v>Normal</v>
      </c>
      <c r="S602">
        <v>1</v>
      </c>
      <c r="T602">
        <v>72.31</v>
      </c>
      <c r="U602">
        <v>1</v>
      </c>
      <c r="V602">
        <v>72.31</v>
      </c>
    </row>
    <row r="603" spans="1:22" x14ac:dyDescent="0.25">
      <c r="A603" t="s">
        <v>2269</v>
      </c>
      <c r="B603" s="1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  <c r="O603" t="str">
        <f>IF(OR($N603&lt;EDA_Summary!$B$14,$N603&gt;EDA_Summary!$B$15), "Outlier", "Normal")</f>
        <v>Normal</v>
      </c>
      <c r="S603">
        <v>5</v>
      </c>
      <c r="T603">
        <v>24.82</v>
      </c>
      <c r="U603">
        <v>10</v>
      </c>
      <c r="V603">
        <v>124.1</v>
      </c>
    </row>
    <row r="604" spans="1:22" x14ac:dyDescent="0.25">
      <c r="A604" t="s">
        <v>2273</v>
      </c>
      <c r="B604" s="1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  <c r="O604" t="str">
        <f>IF(OR($N604&lt;EDA_Summary!$B$14,$N604&gt;EDA_Summary!$B$15), "Outlier", "Normal")</f>
        <v>Normal</v>
      </c>
      <c r="S604">
        <v>4</v>
      </c>
      <c r="T604">
        <v>26.04</v>
      </c>
      <c r="U604">
        <v>5</v>
      </c>
      <c r="V604">
        <v>104.16</v>
      </c>
    </row>
    <row r="605" spans="1:22" x14ac:dyDescent="0.25">
      <c r="A605" t="s">
        <v>2275</v>
      </c>
      <c r="B605" s="1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  <c r="O605" t="str">
        <f>IF(OR($N605&lt;EDA_Summary!$B$14,$N605&gt;EDA_Summary!$B$15), "Outlier", "Normal")</f>
        <v>Normal</v>
      </c>
      <c r="S605">
        <v>1</v>
      </c>
      <c r="T605">
        <v>657.07</v>
      </c>
      <c r="U605">
        <v>4</v>
      </c>
      <c r="V605">
        <v>657.07</v>
      </c>
    </row>
    <row r="606" spans="1:22" x14ac:dyDescent="0.25">
      <c r="A606" t="s">
        <v>2279</v>
      </c>
      <c r="B606" s="1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  <c r="O606" t="str">
        <f>IF(OR($N606&lt;EDA_Summary!$B$14,$N606&gt;EDA_Summary!$B$15), "Outlier", "Normal")</f>
        <v>Normal</v>
      </c>
      <c r="S606">
        <v>3</v>
      </c>
      <c r="T606">
        <v>32.619999999999997</v>
      </c>
      <c r="U606">
        <v>6</v>
      </c>
      <c r="V606">
        <v>97.859999999999985</v>
      </c>
    </row>
    <row r="607" spans="1:22" x14ac:dyDescent="0.25">
      <c r="A607" t="s">
        <v>2282</v>
      </c>
      <c r="B607" s="1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  <c r="O607" t="str">
        <f>IF(OR($N607&lt;EDA_Summary!$B$14,$N607&gt;EDA_Summary!$B$15), "Outlier", "Normal")</f>
        <v>Normal</v>
      </c>
      <c r="S607">
        <v>2</v>
      </c>
      <c r="T607">
        <v>228.91</v>
      </c>
      <c r="U607">
        <v>4</v>
      </c>
      <c r="V607">
        <v>457.82</v>
      </c>
    </row>
    <row r="608" spans="1:22" x14ac:dyDescent="0.25">
      <c r="A608" t="s">
        <v>2286</v>
      </c>
      <c r="B608" s="1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  <c r="O608" t="str">
        <f>IF(OR($N608&lt;EDA_Summary!$B$14,$N608&gt;EDA_Summary!$B$15), "Outlier", "Normal")</f>
        <v>Normal</v>
      </c>
      <c r="S608">
        <v>3</v>
      </c>
      <c r="T608">
        <v>274.75</v>
      </c>
      <c r="U608">
        <v>3</v>
      </c>
      <c r="V608">
        <v>824.25</v>
      </c>
    </row>
    <row r="609" spans="1:22" x14ac:dyDescent="0.25">
      <c r="A609" t="s">
        <v>2289</v>
      </c>
      <c r="B609" s="1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  <c r="O609" t="str">
        <f>IF(OR($N609&lt;EDA_Summary!$B$14,$N609&gt;EDA_Summary!$B$15), "Outlier", "Normal")</f>
        <v>Normal</v>
      </c>
      <c r="S609">
        <v>4</v>
      </c>
      <c r="T609">
        <v>634.04999999999995</v>
      </c>
      <c r="U609">
        <v>6</v>
      </c>
      <c r="V609">
        <v>2536.1999999999998</v>
      </c>
    </row>
    <row r="610" spans="1:22" x14ac:dyDescent="0.25">
      <c r="A610" t="s">
        <v>2293</v>
      </c>
      <c r="B610" s="1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  <c r="O610" t="str">
        <f>IF(OR($N610&lt;EDA_Summary!$B$14,$N610&gt;EDA_Summary!$B$15), "Outlier", "Normal")</f>
        <v>Normal</v>
      </c>
      <c r="S610">
        <v>5</v>
      </c>
      <c r="T610">
        <v>543.16</v>
      </c>
      <c r="U610">
        <v>6</v>
      </c>
      <c r="V610">
        <v>2715.8</v>
      </c>
    </row>
    <row r="611" spans="1:22" x14ac:dyDescent="0.25">
      <c r="A611" t="s">
        <v>2297</v>
      </c>
      <c r="B611" s="1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  <c r="O611" t="str">
        <f>IF(OR($N611&lt;EDA_Summary!$B$14,$N611&gt;EDA_Summary!$B$15), "Outlier", "Normal")</f>
        <v>Normal</v>
      </c>
      <c r="S611">
        <v>3</v>
      </c>
      <c r="T611">
        <v>449.13</v>
      </c>
      <c r="U611">
        <v>5</v>
      </c>
      <c r="V611">
        <v>1347.39</v>
      </c>
    </row>
    <row r="612" spans="1:22" x14ac:dyDescent="0.25">
      <c r="A612" t="s">
        <v>2301</v>
      </c>
      <c r="B612" s="1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  <c r="O612" t="str">
        <f>IF(OR($N612&lt;EDA_Summary!$B$14,$N612&gt;EDA_Summary!$B$15), "Outlier", "Normal")</f>
        <v>Normal</v>
      </c>
      <c r="S612">
        <v>5</v>
      </c>
      <c r="T612">
        <v>389.62</v>
      </c>
      <c r="U612">
        <v>7</v>
      </c>
      <c r="V612">
        <v>1948.1</v>
      </c>
    </row>
    <row r="613" spans="1:22" x14ac:dyDescent="0.25">
      <c r="A613" t="s">
        <v>2304</v>
      </c>
      <c r="B613" s="1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  <c r="O613" t="str">
        <f>IF(OR($N613&lt;EDA_Summary!$B$14,$N613&gt;EDA_Summary!$B$15), "Outlier", "Normal")</f>
        <v>Normal</v>
      </c>
      <c r="S613">
        <v>1</v>
      </c>
      <c r="T613">
        <v>305.17</v>
      </c>
      <c r="U613">
        <v>3</v>
      </c>
      <c r="V613">
        <v>305.17</v>
      </c>
    </row>
    <row r="614" spans="1:22" x14ac:dyDescent="0.25">
      <c r="A614" t="s">
        <v>2307</v>
      </c>
      <c r="B614" s="1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  <c r="O614" t="str">
        <f>IF(OR($N614&lt;EDA_Summary!$B$14,$N614&gt;EDA_Summary!$B$15), "Outlier", "Normal")</f>
        <v>Normal</v>
      </c>
      <c r="S614">
        <v>3</v>
      </c>
      <c r="T614">
        <v>445.12</v>
      </c>
      <c r="U614">
        <v>8</v>
      </c>
      <c r="V614">
        <v>1335.36</v>
      </c>
    </row>
    <row r="615" spans="1:22" x14ac:dyDescent="0.25">
      <c r="A615" t="s">
        <v>2310</v>
      </c>
      <c r="B615" s="1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  <c r="O615" t="str">
        <f>IF(OR($N615&lt;EDA_Summary!$B$14,$N615&gt;EDA_Summary!$B$15), "Outlier", "Normal")</f>
        <v>Normal</v>
      </c>
      <c r="S615">
        <v>2</v>
      </c>
      <c r="T615">
        <v>230.36</v>
      </c>
      <c r="U615">
        <v>4</v>
      </c>
      <c r="V615">
        <v>460.72</v>
      </c>
    </row>
    <row r="616" spans="1:22" x14ac:dyDescent="0.25">
      <c r="A616" t="s">
        <v>2314</v>
      </c>
      <c r="B616" s="1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  <c r="O616" t="str">
        <f>IF(OR($N616&lt;EDA_Summary!$B$14,$N616&gt;EDA_Summary!$B$15), "Outlier", "Normal")</f>
        <v>Normal</v>
      </c>
      <c r="S616">
        <v>1</v>
      </c>
      <c r="T616">
        <v>96.81</v>
      </c>
      <c r="U616">
        <v>3</v>
      </c>
      <c r="V616">
        <v>96.81</v>
      </c>
    </row>
    <row r="617" spans="1:22" x14ac:dyDescent="0.25">
      <c r="A617" t="s">
        <v>2317</v>
      </c>
      <c r="B617" s="1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  <c r="O617" t="str">
        <f>IF(OR($N617&lt;EDA_Summary!$B$14,$N617&gt;EDA_Summary!$B$15), "Outlier", "Normal")</f>
        <v>Normal</v>
      </c>
      <c r="S617">
        <v>5</v>
      </c>
      <c r="T617">
        <v>460.14</v>
      </c>
      <c r="U617">
        <v>10</v>
      </c>
      <c r="V617">
        <v>2300.6999999999998</v>
      </c>
    </row>
    <row r="618" spans="1:22" x14ac:dyDescent="0.25">
      <c r="A618" t="s">
        <v>2320</v>
      </c>
      <c r="B618" s="1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  <c r="O618" t="str">
        <f>IF(OR($N618&lt;EDA_Summary!$B$14,$N618&gt;EDA_Summary!$B$15), "Outlier", "Normal")</f>
        <v>Normal</v>
      </c>
      <c r="S618">
        <v>3</v>
      </c>
      <c r="T618">
        <v>601.6</v>
      </c>
      <c r="U618">
        <v>7</v>
      </c>
      <c r="V618">
        <v>1804.8</v>
      </c>
    </row>
    <row r="619" spans="1:22" x14ac:dyDescent="0.25">
      <c r="A619" t="s">
        <v>2324</v>
      </c>
      <c r="B619" s="1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  <c r="O619" t="str">
        <f>IF(OR($N619&lt;EDA_Summary!$B$14,$N619&gt;EDA_Summary!$B$15), "Outlier", "Normal")</f>
        <v>Normal</v>
      </c>
      <c r="S619">
        <v>3</v>
      </c>
      <c r="T619">
        <v>184.47</v>
      </c>
      <c r="U619">
        <v>4</v>
      </c>
      <c r="V619">
        <v>553.41</v>
      </c>
    </row>
    <row r="620" spans="1:22" x14ac:dyDescent="0.25">
      <c r="A620" t="s">
        <v>2328</v>
      </c>
      <c r="B620" s="1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  <c r="O620" t="str">
        <f>IF(OR($N620&lt;EDA_Summary!$B$14,$N620&gt;EDA_Summary!$B$15), "Outlier", "Normal")</f>
        <v>Normal</v>
      </c>
      <c r="S620">
        <v>1</v>
      </c>
      <c r="T620">
        <v>411.34</v>
      </c>
      <c r="U620">
        <v>5</v>
      </c>
      <c r="V620">
        <v>411.34</v>
      </c>
    </row>
    <row r="621" spans="1:22" x14ac:dyDescent="0.25">
      <c r="A621" t="s">
        <v>2332</v>
      </c>
      <c r="B621" s="1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  <c r="O621" t="str">
        <f>IF(OR($N621&lt;EDA_Summary!$B$14,$N621&gt;EDA_Summary!$B$15), "Outlier", "Normal")</f>
        <v>Normal</v>
      </c>
      <c r="S621">
        <v>1</v>
      </c>
      <c r="T621">
        <v>532.89</v>
      </c>
      <c r="U621">
        <v>2</v>
      </c>
      <c r="V621">
        <v>532.89</v>
      </c>
    </row>
    <row r="622" spans="1:22" x14ac:dyDescent="0.25">
      <c r="A622" t="s">
        <v>2335</v>
      </c>
      <c r="B622" s="1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  <c r="O622" t="str">
        <f>IF(OR($N622&lt;EDA_Summary!$B$14,$N622&gt;EDA_Summary!$B$15), "Outlier", "Normal")</f>
        <v>Normal</v>
      </c>
      <c r="S622">
        <v>3</v>
      </c>
      <c r="T622">
        <v>136.34</v>
      </c>
      <c r="U622">
        <v>8</v>
      </c>
      <c r="V622">
        <v>409.02</v>
      </c>
    </row>
    <row r="623" spans="1:22" x14ac:dyDescent="0.25">
      <c r="A623" t="s">
        <v>2339</v>
      </c>
      <c r="B623" s="1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  <c r="O623" t="str">
        <f>IF(OR($N623&lt;EDA_Summary!$B$14,$N623&gt;EDA_Summary!$B$15), "Outlier", "Normal")</f>
        <v>Normal</v>
      </c>
      <c r="S623">
        <v>5</v>
      </c>
      <c r="T623">
        <v>476.01</v>
      </c>
      <c r="U623">
        <v>7</v>
      </c>
      <c r="V623">
        <v>2380.0500000000002</v>
      </c>
    </row>
    <row r="624" spans="1:22" x14ac:dyDescent="0.25">
      <c r="A624" t="s">
        <v>2342</v>
      </c>
      <c r="B624" s="1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  <c r="O624" t="str">
        <f>IF(OR($N624&lt;EDA_Summary!$B$14,$N624&gt;EDA_Summary!$B$15), "Outlier", "Normal")</f>
        <v>Normal</v>
      </c>
      <c r="S624">
        <v>5</v>
      </c>
      <c r="T624">
        <v>236.38</v>
      </c>
      <c r="U624">
        <v>7</v>
      </c>
      <c r="V624">
        <v>1181.9000000000001</v>
      </c>
    </row>
    <row r="625" spans="1:22" x14ac:dyDescent="0.25">
      <c r="A625" t="s">
        <v>2345</v>
      </c>
      <c r="B625" s="1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  <c r="O625" t="str">
        <f>IF(OR($N625&lt;EDA_Summary!$B$14,$N625&gt;EDA_Summary!$B$15), "Outlier", "Normal")</f>
        <v>Normal</v>
      </c>
      <c r="S625">
        <v>3</v>
      </c>
      <c r="T625">
        <v>396</v>
      </c>
      <c r="U625">
        <v>4</v>
      </c>
      <c r="V625">
        <v>1188</v>
      </c>
    </row>
    <row r="626" spans="1:22" x14ac:dyDescent="0.25">
      <c r="A626" t="s">
        <v>2349</v>
      </c>
      <c r="B626" s="1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  <c r="O626" t="str">
        <f>IF(OR($N626&lt;EDA_Summary!$B$14,$N626&gt;EDA_Summary!$B$15), "Outlier", "Normal")</f>
        <v>Normal</v>
      </c>
      <c r="S626">
        <v>5</v>
      </c>
      <c r="T626">
        <v>341.96</v>
      </c>
      <c r="U626">
        <v>6</v>
      </c>
      <c r="V626">
        <v>1709.8</v>
      </c>
    </row>
    <row r="627" spans="1:22" x14ac:dyDescent="0.25">
      <c r="A627" t="s">
        <v>2352</v>
      </c>
      <c r="B627" s="1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  <c r="O627" t="str">
        <f>IF(OR($N627&lt;EDA_Summary!$B$14,$N627&gt;EDA_Summary!$B$15), "Outlier", "Normal")</f>
        <v>Normal</v>
      </c>
      <c r="S627">
        <v>1</v>
      </c>
      <c r="T627">
        <v>672.89</v>
      </c>
      <c r="U627">
        <v>1</v>
      </c>
      <c r="V627">
        <v>672.89</v>
      </c>
    </row>
    <row r="628" spans="1:22" x14ac:dyDescent="0.25">
      <c r="A628" t="s">
        <v>2356</v>
      </c>
      <c r="B628" s="1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  <c r="O628" t="str">
        <f>IF(OR($N628&lt;EDA_Summary!$B$14,$N628&gt;EDA_Summary!$B$15), "Outlier", "Normal")</f>
        <v>Normal</v>
      </c>
      <c r="S628">
        <v>2</v>
      </c>
      <c r="T628">
        <v>657.48</v>
      </c>
      <c r="U628">
        <v>5</v>
      </c>
      <c r="V628">
        <v>1314.96</v>
      </c>
    </row>
    <row r="629" spans="1:22" x14ac:dyDescent="0.25">
      <c r="A629" t="s">
        <v>2359</v>
      </c>
      <c r="B629" s="1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  <c r="O629" t="str">
        <f>IF(OR($N629&lt;EDA_Summary!$B$14,$N629&gt;EDA_Summary!$B$15), "Outlier", "Normal")</f>
        <v>Normal</v>
      </c>
      <c r="S629">
        <v>3</v>
      </c>
      <c r="T629">
        <v>498.68</v>
      </c>
      <c r="U629">
        <v>4</v>
      </c>
      <c r="V629">
        <v>1496.04</v>
      </c>
    </row>
    <row r="630" spans="1:22" x14ac:dyDescent="0.25">
      <c r="A630" t="s">
        <v>2362</v>
      </c>
      <c r="B630" s="1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  <c r="O630" t="str">
        <f>IF(OR($N630&lt;EDA_Summary!$B$14,$N630&gt;EDA_Summary!$B$15), "Outlier", "Normal")</f>
        <v>Normal</v>
      </c>
      <c r="S630">
        <v>5</v>
      </c>
      <c r="T630">
        <v>558.63</v>
      </c>
      <c r="U630">
        <v>8</v>
      </c>
      <c r="V630">
        <v>2793.15</v>
      </c>
    </row>
    <row r="631" spans="1:22" x14ac:dyDescent="0.25">
      <c r="A631" t="s">
        <v>2366</v>
      </c>
      <c r="B631" s="1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  <c r="O631" t="str">
        <f>IF(OR($N631&lt;EDA_Summary!$B$14,$N631&gt;EDA_Summary!$B$15), "Outlier", "Normal")</f>
        <v>Normal</v>
      </c>
      <c r="S631">
        <v>3</v>
      </c>
      <c r="T631">
        <v>19.73</v>
      </c>
      <c r="U631">
        <v>3</v>
      </c>
      <c r="V631">
        <v>59.19</v>
      </c>
    </row>
    <row r="632" spans="1:22" x14ac:dyDescent="0.25">
      <c r="A632" t="s">
        <v>2370</v>
      </c>
      <c r="B632" s="1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  <c r="O632" t="str">
        <f>IF(OR($N632&lt;EDA_Summary!$B$14,$N632&gt;EDA_Summary!$B$15), "Outlier", "Normal")</f>
        <v>Normal</v>
      </c>
      <c r="S632">
        <v>5</v>
      </c>
      <c r="T632">
        <v>248.84</v>
      </c>
      <c r="U632">
        <v>10</v>
      </c>
      <c r="V632">
        <v>1244.2</v>
      </c>
    </row>
    <row r="633" spans="1:22" x14ac:dyDescent="0.25">
      <c r="A633" t="s">
        <v>2374</v>
      </c>
      <c r="B633" s="1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  <c r="O633" t="str">
        <f>IF(OR($N633&lt;EDA_Summary!$B$14,$N633&gt;EDA_Summary!$B$15), "Outlier", "Normal")</f>
        <v>Normal</v>
      </c>
      <c r="S633">
        <v>3</v>
      </c>
      <c r="T633">
        <v>46.11</v>
      </c>
      <c r="U633">
        <v>5</v>
      </c>
      <c r="V633">
        <v>138.33000000000001</v>
      </c>
    </row>
    <row r="634" spans="1:22" x14ac:dyDescent="0.25">
      <c r="A634" t="s">
        <v>2377</v>
      </c>
      <c r="B634" s="1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  <c r="O634" t="str">
        <f>IF(OR($N634&lt;EDA_Summary!$B$14,$N634&gt;EDA_Summary!$B$15), "Outlier", "Normal")</f>
        <v>Outlier</v>
      </c>
      <c r="S634">
        <v>5</v>
      </c>
      <c r="T634">
        <v>678.16</v>
      </c>
      <c r="U634">
        <v>7</v>
      </c>
      <c r="V634">
        <v>3390.8</v>
      </c>
    </row>
    <row r="635" spans="1:22" x14ac:dyDescent="0.25">
      <c r="A635" t="s">
        <v>2380</v>
      </c>
      <c r="B635" s="1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  <c r="O635" t="str">
        <f>IF(OR($N635&lt;EDA_Summary!$B$14,$N635&gt;EDA_Summary!$B$15), "Outlier", "Normal")</f>
        <v>Normal</v>
      </c>
      <c r="S635">
        <v>5</v>
      </c>
      <c r="T635">
        <v>601.72</v>
      </c>
      <c r="U635">
        <v>5</v>
      </c>
      <c r="V635">
        <v>3008.6</v>
      </c>
    </row>
    <row r="636" spans="1:22" x14ac:dyDescent="0.25">
      <c r="A636" t="s">
        <v>2383</v>
      </c>
      <c r="B636" s="1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  <c r="O636" t="str">
        <f>IF(OR($N636&lt;EDA_Summary!$B$14,$N636&gt;EDA_Summary!$B$15), "Outlier", "Normal")</f>
        <v>Normal</v>
      </c>
      <c r="S636">
        <v>2</v>
      </c>
      <c r="T636">
        <v>259.32</v>
      </c>
      <c r="U636">
        <v>2</v>
      </c>
      <c r="V636">
        <v>518.64</v>
      </c>
    </row>
    <row r="637" spans="1:22" x14ac:dyDescent="0.25">
      <c r="A637" t="s">
        <v>2387</v>
      </c>
      <c r="B637" s="1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  <c r="O637" t="str">
        <f>IF(OR($N637&lt;EDA_Summary!$B$14,$N637&gt;EDA_Summary!$B$15), "Outlier", "Normal")</f>
        <v>Normal</v>
      </c>
      <c r="S637">
        <v>3</v>
      </c>
      <c r="T637">
        <v>63.68</v>
      </c>
      <c r="U637">
        <v>6</v>
      </c>
      <c r="V637">
        <v>191.04</v>
      </c>
    </row>
    <row r="638" spans="1:22" x14ac:dyDescent="0.25">
      <c r="A638" t="s">
        <v>2390</v>
      </c>
      <c r="B638" s="1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  <c r="O638" t="str">
        <f>IF(OR($N638&lt;EDA_Summary!$B$14,$N638&gt;EDA_Summary!$B$15), "Outlier", "Normal")</f>
        <v>Normal</v>
      </c>
      <c r="S638">
        <v>4</v>
      </c>
      <c r="T638">
        <v>371.07</v>
      </c>
      <c r="U638">
        <v>7</v>
      </c>
      <c r="V638">
        <v>1484.28</v>
      </c>
    </row>
    <row r="639" spans="1:22" x14ac:dyDescent="0.25">
      <c r="A639" t="s">
        <v>2393</v>
      </c>
      <c r="B639" s="1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  <c r="O639" t="str">
        <f>IF(OR($N639&lt;EDA_Summary!$B$14,$N639&gt;EDA_Summary!$B$15), "Outlier", "Normal")</f>
        <v>Normal</v>
      </c>
      <c r="S639">
        <v>4</v>
      </c>
      <c r="T639">
        <v>306.35000000000002</v>
      </c>
      <c r="U639">
        <v>7</v>
      </c>
      <c r="V639">
        <v>1225.4000000000001</v>
      </c>
    </row>
    <row r="640" spans="1:22" x14ac:dyDescent="0.25">
      <c r="A640" t="s">
        <v>2397</v>
      </c>
      <c r="B640" s="1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  <c r="O640" t="str">
        <f>IF(OR($N640&lt;EDA_Summary!$B$14,$N640&gt;EDA_Summary!$B$15), "Outlier", "Normal")</f>
        <v>Normal</v>
      </c>
      <c r="S640">
        <v>4</v>
      </c>
      <c r="T640">
        <v>578.27</v>
      </c>
      <c r="U640">
        <v>9</v>
      </c>
      <c r="V640">
        <v>2313.08</v>
      </c>
    </row>
    <row r="641" spans="1:22" x14ac:dyDescent="0.25">
      <c r="A641" t="s">
        <v>2401</v>
      </c>
      <c r="B641" s="1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  <c r="O641" t="str">
        <f>IF(OR($N641&lt;EDA_Summary!$B$14,$N641&gt;EDA_Summary!$B$15), "Outlier", "Normal")</f>
        <v>Normal</v>
      </c>
      <c r="S641">
        <v>1</v>
      </c>
      <c r="T641">
        <v>529.19000000000005</v>
      </c>
      <c r="U641">
        <v>5</v>
      </c>
      <c r="V641">
        <v>529.19000000000005</v>
      </c>
    </row>
    <row r="642" spans="1:22" x14ac:dyDescent="0.25">
      <c r="A642" t="s">
        <v>2404</v>
      </c>
      <c r="B642" s="1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  <c r="O642" t="str">
        <f>IF(OR($N642&lt;EDA_Summary!$B$14,$N642&gt;EDA_Summary!$B$15), "Outlier", "Normal")</f>
        <v>Normal</v>
      </c>
      <c r="S642">
        <v>2</v>
      </c>
      <c r="T642">
        <v>587.49</v>
      </c>
      <c r="U642">
        <v>6</v>
      </c>
      <c r="V642">
        <v>1174.98</v>
      </c>
    </row>
    <row r="643" spans="1:22" x14ac:dyDescent="0.25">
      <c r="A643" t="s">
        <v>2407</v>
      </c>
      <c r="B643" s="1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  <c r="O643" t="str">
        <f>IF(OR($N643&lt;EDA_Summary!$B$14,$N643&gt;EDA_Summary!$B$15), "Outlier", "Normal")</f>
        <v>Normal</v>
      </c>
      <c r="S643">
        <v>4</v>
      </c>
      <c r="T643">
        <v>567.57000000000005</v>
      </c>
      <c r="U643">
        <v>9</v>
      </c>
      <c r="V643">
        <v>2270.2800000000002</v>
      </c>
    </row>
    <row r="644" spans="1:22" x14ac:dyDescent="0.25">
      <c r="A644" t="s">
        <v>2410</v>
      </c>
      <c r="B644" s="1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  <c r="O644" t="str">
        <f>IF(OR($N644&lt;EDA_Summary!$B$14,$N644&gt;EDA_Summary!$B$15), "Outlier", "Normal")</f>
        <v>Normal</v>
      </c>
      <c r="S644">
        <v>5</v>
      </c>
      <c r="T644">
        <v>85.22</v>
      </c>
      <c r="U644">
        <v>7</v>
      </c>
      <c r="V644">
        <v>426.1</v>
      </c>
    </row>
    <row r="645" spans="1:22" x14ac:dyDescent="0.25">
      <c r="A645" t="s">
        <v>2414</v>
      </c>
      <c r="B645" s="1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  <c r="O645" t="str">
        <f>IF(OR($N645&lt;EDA_Summary!$B$14,$N645&gt;EDA_Summary!$B$15), "Outlier", "Normal")</f>
        <v>Normal</v>
      </c>
      <c r="S645">
        <v>1</v>
      </c>
      <c r="T645">
        <v>438.37</v>
      </c>
      <c r="U645">
        <v>4</v>
      </c>
      <c r="V645">
        <v>438.37</v>
      </c>
    </row>
    <row r="646" spans="1:22" x14ac:dyDescent="0.25">
      <c r="A646" t="s">
        <v>2417</v>
      </c>
      <c r="B646" s="1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  <c r="O646" t="str">
        <f>IF(OR($N646&lt;EDA_Summary!$B$14,$N646&gt;EDA_Summary!$B$15), "Outlier", "Normal")</f>
        <v>Normal</v>
      </c>
      <c r="S646">
        <v>2</v>
      </c>
      <c r="T646">
        <v>366.23</v>
      </c>
      <c r="U646">
        <v>2</v>
      </c>
      <c r="V646">
        <v>732.46</v>
      </c>
    </row>
    <row r="647" spans="1:22" x14ac:dyDescent="0.25">
      <c r="A647" t="s">
        <v>2421</v>
      </c>
      <c r="B647" s="1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  <c r="O647" t="str">
        <f>IF(OR($N647&lt;EDA_Summary!$B$14,$N647&gt;EDA_Summary!$B$15), "Outlier", "Normal")</f>
        <v>Normal</v>
      </c>
      <c r="S647">
        <v>2</v>
      </c>
      <c r="T647">
        <v>150.05000000000001</v>
      </c>
      <c r="U647">
        <v>4</v>
      </c>
      <c r="V647">
        <v>300.10000000000002</v>
      </c>
    </row>
    <row r="648" spans="1:22" x14ac:dyDescent="0.25">
      <c r="A648" t="s">
        <v>2424</v>
      </c>
      <c r="B648" s="1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  <c r="O648" t="str">
        <f>IF(OR($N648&lt;EDA_Summary!$B$14,$N648&gt;EDA_Summary!$B$15), "Outlier", "Normal")</f>
        <v>Normal</v>
      </c>
      <c r="S648">
        <v>4</v>
      </c>
      <c r="T648">
        <v>498.51</v>
      </c>
      <c r="U648">
        <v>4</v>
      </c>
      <c r="V648">
        <v>1994.04</v>
      </c>
    </row>
    <row r="649" spans="1:22" x14ac:dyDescent="0.25">
      <c r="A649" t="s">
        <v>2428</v>
      </c>
      <c r="B649" s="1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  <c r="O649" t="str">
        <f>IF(OR($N649&lt;EDA_Summary!$B$14,$N649&gt;EDA_Summary!$B$15), "Outlier", "Normal")</f>
        <v>Normal</v>
      </c>
      <c r="S649">
        <v>3</v>
      </c>
      <c r="T649">
        <v>339.39</v>
      </c>
      <c r="U649">
        <v>7</v>
      </c>
      <c r="V649">
        <v>1018.17</v>
      </c>
    </row>
    <row r="650" spans="1:22" x14ac:dyDescent="0.25">
      <c r="A650" t="s">
        <v>2431</v>
      </c>
      <c r="B650" s="1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  <c r="O650" t="str">
        <f>IF(OR($N650&lt;EDA_Summary!$B$14,$N650&gt;EDA_Summary!$B$15), "Outlier", "Normal")</f>
        <v>Normal</v>
      </c>
      <c r="S650">
        <v>2</v>
      </c>
      <c r="T650">
        <v>575.83000000000004</v>
      </c>
      <c r="U650">
        <v>3</v>
      </c>
      <c r="V650">
        <v>1151.6600000000001</v>
      </c>
    </row>
    <row r="651" spans="1:22" x14ac:dyDescent="0.25">
      <c r="A651" t="s">
        <v>2435</v>
      </c>
      <c r="B651" s="1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  <c r="O651" t="str">
        <f>IF(OR($N651&lt;EDA_Summary!$B$14,$N651&gt;EDA_Summary!$B$15), "Outlier", "Normal")</f>
        <v>Normal</v>
      </c>
      <c r="S651">
        <v>2</v>
      </c>
      <c r="T651">
        <v>642.98</v>
      </c>
      <c r="U651">
        <v>7</v>
      </c>
      <c r="V651">
        <v>1285.96</v>
      </c>
    </row>
    <row r="652" spans="1:22" x14ac:dyDescent="0.25">
      <c r="A652" t="s">
        <v>2438</v>
      </c>
      <c r="B652" s="1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  <c r="O652" t="str">
        <f>IF(OR($N652&lt;EDA_Summary!$B$14,$N652&gt;EDA_Summary!$B$15), "Outlier", "Normal")</f>
        <v>Normal</v>
      </c>
      <c r="S652">
        <v>2</v>
      </c>
      <c r="T652">
        <v>372.23</v>
      </c>
      <c r="U652">
        <v>7</v>
      </c>
      <c r="V652">
        <v>744.46</v>
      </c>
    </row>
    <row r="653" spans="1:22" x14ac:dyDescent="0.25">
      <c r="A653" t="s">
        <v>2442</v>
      </c>
      <c r="B653" s="1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  <c r="O653" t="str">
        <f>IF(OR($N653&lt;EDA_Summary!$B$14,$N653&gt;EDA_Summary!$B$15), "Outlier", "Normal")</f>
        <v>Normal</v>
      </c>
      <c r="S653">
        <v>3</v>
      </c>
      <c r="T653">
        <v>646.34</v>
      </c>
      <c r="U653">
        <v>5</v>
      </c>
      <c r="V653">
        <v>1939.02</v>
      </c>
    </row>
    <row r="654" spans="1:22" x14ac:dyDescent="0.25">
      <c r="A654" t="s">
        <v>2445</v>
      </c>
      <c r="B654" s="1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  <c r="O654" t="str">
        <f>IF(OR($N654&lt;EDA_Summary!$B$14,$N654&gt;EDA_Summary!$B$15), "Outlier", "Normal")</f>
        <v>Normal</v>
      </c>
      <c r="S654">
        <v>5</v>
      </c>
      <c r="T654">
        <v>341.84</v>
      </c>
      <c r="U654">
        <v>8</v>
      </c>
      <c r="V654">
        <v>1709.2</v>
      </c>
    </row>
    <row r="655" spans="1:22" x14ac:dyDescent="0.25">
      <c r="A655" t="s">
        <v>2449</v>
      </c>
      <c r="B655" s="1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  <c r="O655" t="str">
        <f>IF(OR($N655&lt;EDA_Summary!$B$14,$N655&gt;EDA_Summary!$B$15), "Outlier", "Normal")</f>
        <v>Normal</v>
      </c>
      <c r="S655">
        <v>3</v>
      </c>
      <c r="T655">
        <v>690.3</v>
      </c>
      <c r="U655">
        <v>6</v>
      </c>
      <c r="V655">
        <v>2070.9</v>
      </c>
    </row>
    <row r="656" spans="1:22" x14ac:dyDescent="0.25">
      <c r="A656" t="s">
        <v>2452</v>
      </c>
      <c r="B656" s="1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  <c r="O656" t="str">
        <f>IF(OR($N656&lt;EDA_Summary!$B$14,$N656&gt;EDA_Summary!$B$15), "Outlier", "Normal")</f>
        <v>Normal</v>
      </c>
      <c r="S656">
        <v>3</v>
      </c>
      <c r="T656">
        <v>382.37</v>
      </c>
      <c r="U656">
        <v>8</v>
      </c>
      <c r="V656">
        <v>1147.1099999999999</v>
      </c>
    </row>
    <row r="657" spans="1:22" x14ac:dyDescent="0.25">
      <c r="A657" t="s">
        <v>2456</v>
      </c>
      <c r="B657" s="1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  <c r="O657" t="str">
        <f>IF(OR($N657&lt;EDA_Summary!$B$14,$N657&gt;EDA_Summary!$B$15), "Outlier", "Normal")</f>
        <v>Normal</v>
      </c>
      <c r="S657">
        <v>2</v>
      </c>
      <c r="T657">
        <v>132.6</v>
      </c>
      <c r="U657">
        <v>4</v>
      </c>
      <c r="V657">
        <v>265.2</v>
      </c>
    </row>
    <row r="658" spans="1:22" x14ac:dyDescent="0.25">
      <c r="A658" t="s">
        <v>2459</v>
      </c>
      <c r="B658" s="1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  <c r="O658" t="str">
        <f>IF(OR($N658&lt;EDA_Summary!$B$14,$N658&gt;EDA_Summary!$B$15), "Outlier", "Normal")</f>
        <v>Normal</v>
      </c>
      <c r="S658">
        <v>2</v>
      </c>
      <c r="T658">
        <v>189.06</v>
      </c>
      <c r="U658">
        <v>7</v>
      </c>
      <c r="V658">
        <v>378.12</v>
      </c>
    </row>
    <row r="659" spans="1:22" x14ac:dyDescent="0.25">
      <c r="A659" t="s">
        <v>2463</v>
      </c>
      <c r="B659" s="1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  <c r="O659" t="str">
        <f>IF(OR($N659&lt;EDA_Summary!$B$14,$N659&gt;EDA_Summary!$B$15), "Outlier", "Normal")</f>
        <v>Normal</v>
      </c>
      <c r="S659">
        <v>4</v>
      </c>
      <c r="T659">
        <v>87.79</v>
      </c>
      <c r="U659">
        <v>6</v>
      </c>
      <c r="V659">
        <v>351.16</v>
      </c>
    </row>
    <row r="660" spans="1:22" x14ac:dyDescent="0.25">
      <c r="A660" t="s">
        <v>2466</v>
      </c>
      <c r="B660" s="1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  <c r="O660" t="str">
        <f>IF(OR($N660&lt;EDA_Summary!$B$14,$N660&gt;EDA_Summary!$B$15), "Outlier", "Normal")</f>
        <v>Normal</v>
      </c>
      <c r="S660">
        <v>2</v>
      </c>
      <c r="T660">
        <v>46.36</v>
      </c>
      <c r="U660">
        <v>4</v>
      </c>
      <c r="V660">
        <v>92.72</v>
      </c>
    </row>
    <row r="661" spans="1:22" x14ac:dyDescent="0.25">
      <c r="A661" t="s">
        <v>2469</v>
      </c>
      <c r="B661" s="1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  <c r="O661" t="str">
        <f>IF(OR($N661&lt;EDA_Summary!$B$14,$N661&gt;EDA_Summary!$B$15), "Outlier", "Normal")</f>
        <v>Normal</v>
      </c>
      <c r="S661">
        <v>2</v>
      </c>
      <c r="T661">
        <v>642.04</v>
      </c>
      <c r="U661">
        <v>4</v>
      </c>
      <c r="V661">
        <v>1284.08</v>
      </c>
    </row>
    <row r="662" spans="1:22" x14ac:dyDescent="0.25">
      <c r="A662" t="s">
        <v>2472</v>
      </c>
      <c r="B662" s="1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  <c r="O662" t="str">
        <f>IF(OR($N662&lt;EDA_Summary!$B$14,$N662&gt;EDA_Summary!$B$15), "Outlier", "Normal")</f>
        <v>Normal</v>
      </c>
      <c r="S662">
        <v>2</v>
      </c>
      <c r="T662">
        <v>651.57000000000005</v>
      </c>
      <c r="U662">
        <v>7</v>
      </c>
      <c r="V662">
        <v>1303.1400000000001</v>
      </c>
    </row>
    <row r="663" spans="1:22" x14ac:dyDescent="0.25">
      <c r="A663" t="s">
        <v>2475</v>
      </c>
      <c r="B663" s="1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  <c r="O663" t="str">
        <f>IF(OR($N663&lt;EDA_Summary!$B$14,$N663&gt;EDA_Summary!$B$15), "Outlier", "Normal")</f>
        <v>Normal</v>
      </c>
      <c r="S663">
        <v>3</v>
      </c>
      <c r="T663">
        <v>424.89</v>
      </c>
      <c r="U663">
        <v>6</v>
      </c>
      <c r="V663">
        <v>1274.67</v>
      </c>
    </row>
    <row r="664" spans="1:22" x14ac:dyDescent="0.25">
      <c r="A664" t="s">
        <v>2479</v>
      </c>
      <c r="B664" s="1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  <c r="O664" t="str">
        <f>IF(OR($N664&lt;EDA_Summary!$B$14,$N664&gt;EDA_Summary!$B$15), "Outlier", "Normal")</f>
        <v>Normal</v>
      </c>
      <c r="S664">
        <v>3</v>
      </c>
      <c r="T664">
        <v>438.89</v>
      </c>
      <c r="U664">
        <v>3</v>
      </c>
      <c r="V664">
        <v>1316.67</v>
      </c>
    </row>
    <row r="665" spans="1:22" x14ac:dyDescent="0.25">
      <c r="A665" t="s">
        <v>2483</v>
      </c>
      <c r="B665" s="1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  <c r="O665" t="str">
        <f>IF(OR($N665&lt;EDA_Summary!$B$14,$N665&gt;EDA_Summary!$B$15), "Outlier", "Normal")</f>
        <v>Normal</v>
      </c>
      <c r="S665">
        <v>1</v>
      </c>
      <c r="T665">
        <v>72.599999999999994</v>
      </c>
      <c r="U665">
        <v>6</v>
      </c>
      <c r="V665">
        <v>72.599999999999994</v>
      </c>
    </row>
    <row r="666" spans="1:22" x14ac:dyDescent="0.25">
      <c r="A666" t="s">
        <v>2486</v>
      </c>
      <c r="B666" s="1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  <c r="O666" t="str">
        <f>IF(OR($N666&lt;EDA_Summary!$B$14,$N666&gt;EDA_Summary!$B$15), "Outlier", "Normal")</f>
        <v>Normal</v>
      </c>
      <c r="S666">
        <v>4</v>
      </c>
      <c r="T666">
        <v>194.75</v>
      </c>
      <c r="U666">
        <v>5</v>
      </c>
      <c r="V666">
        <v>779</v>
      </c>
    </row>
    <row r="667" spans="1:22" x14ac:dyDescent="0.25">
      <c r="A667" t="s">
        <v>2489</v>
      </c>
      <c r="B667" s="1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  <c r="O667" t="str">
        <f>IF(OR($N667&lt;EDA_Summary!$B$14,$N667&gt;EDA_Summary!$B$15), "Outlier", "Normal")</f>
        <v>Normal</v>
      </c>
      <c r="S667">
        <v>4</v>
      </c>
      <c r="T667">
        <v>231.26</v>
      </c>
      <c r="U667">
        <v>6</v>
      </c>
      <c r="V667">
        <v>925.04</v>
      </c>
    </row>
    <row r="668" spans="1:22" x14ac:dyDescent="0.25">
      <c r="A668" t="s">
        <v>2493</v>
      </c>
      <c r="B668" s="1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  <c r="O668" t="str">
        <f>IF(OR($N668&lt;EDA_Summary!$B$14,$N668&gt;EDA_Summary!$B$15), "Outlier", "Normal")</f>
        <v>Normal</v>
      </c>
      <c r="S668">
        <v>4</v>
      </c>
      <c r="T668">
        <v>327.12</v>
      </c>
      <c r="U668">
        <v>4</v>
      </c>
      <c r="V668">
        <v>1308.48</v>
      </c>
    </row>
    <row r="669" spans="1:22" x14ac:dyDescent="0.25">
      <c r="A669" t="s">
        <v>2496</v>
      </c>
      <c r="B669" s="1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  <c r="O669" t="str">
        <f>IF(OR($N669&lt;EDA_Summary!$B$14,$N669&gt;EDA_Summary!$B$15), "Outlier", "Normal")</f>
        <v>Normal</v>
      </c>
      <c r="S669">
        <v>1</v>
      </c>
      <c r="T669">
        <v>466.42</v>
      </c>
      <c r="U669">
        <v>5</v>
      </c>
      <c r="V669">
        <v>466.42</v>
      </c>
    </row>
    <row r="670" spans="1:22" x14ac:dyDescent="0.25">
      <c r="A670" t="s">
        <v>2499</v>
      </c>
      <c r="B670" s="1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  <c r="O670" t="str">
        <f>IF(OR($N670&lt;EDA_Summary!$B$14,$N670&gt;EDA_Summary!$B$15), "Outlier", "Normal")</f>
        <v>Normal</v>
      </c>
      <c r="S670">
        <v>2</v>
      </c>
      <c r="T670">
        <v>253.67</v>
      </c>
      <c r="U670">
        <v>3</v>
      </c>
      <c r="V670">
        <v>507.34</v>
      </c>
    </row>
    <row r="671" spans="1:22" x14ac:dyDescent="0.25">
      <c r="A671" t="s">
        <v>2502</v>
      </c>
      <c r="B671" s="1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  <c r="O671" t="str">
        <f>IF(OR($N671&lt;EDA_Summary!$B$14,$N671&gt;EDA_Summary!$B$15), "Outlier", "Normal")</f>
        <v>Normal</v>
      </c>
      <c r="S671">
        <v>1</v>
      </c>
      <c r="T671">
        <v>257</v>
      </c>
      <c r="U671">
        <v>5</v>
      </c>
      <c r="V671">
        <v>257</v>
      </c>
    </row>
    <row r="672" spans="1:22" x14ac:dyDescent="0.25">
      <c r="A672" t="s">
        <v>2506</v>
      </c>
      <c r="B672" s="1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  <c r="O672" t="str">
        <f>IF(OR($N672&lt;EDA_Summary!$B$14,$N672&gt;EDA_Summary!$B$15), "Outlier", "Normal")</f>
        <v>Normal</v>
      </c>
      <c r="S672">
        <v>4</v>
      </c>
      <c r="T672">
        <v>539.20000000000005</v>
      </c>
      <c r="U672">
        <v>8</v>
      </c>
      <c r="V672">
        <v>2156.8000000000002</v>
      </c>
    </row>
    <row r="673" spans="1:22" x14ac:dyDescent="0.25">
      <c r="A673" t="s">
        <v>2509</v>
      </c>
      <c r="B673" s="1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  <c r="O673" t="str">
        <f>IF(OR($N673&lt;EDA_Summary!$B$14,$N673&gt;EDA_Summary!$B$15), "Outlier", "Normal")</f>
        <v>Normal</v>
      </c>
      <c r="S673">
        <v>5</v>
      </c>
      <c r="T673">
        <v>50.74</v>
      </c>
      <c r="U673">
        <v>7</v>
      </c>
      <c r="V673">
        <v>253.7</v>
      </c>
    </row>
    <row r="674" spans="1:22" x14ac:dyDescent="0.25">
      <c r="A674" t="s">
        <v>2512</v>
      </c>
      <c r="B674" s="1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  <c r="O674" t="str">
        <f>IF(OR($N674&lt;EDA_Summary!$B$14,$N674&gt;EDA_Summary!$B$15), "Outlier", "Normal")</f>
        <v>Normal</v>
      </c>
      <c r="S674">
        <v>2</v>
      </c>
      <c r="T674">
        <v>624.16</v>
      </c>
      <c r="U674">
        <v>2</v>
      </c>
      <c r="V674">
        <v>1248.32</v>
      </c>
    </row>
    <row r="675" spans="1:22" x14ac:dyDescent="0.25">
      <c r="A675" t="s">
        <v>2515</v>
      </c>
      <c r="B675" s="1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  <c r="O675" t="str">
        <f>IF(OR($N675&lt;EDA_Summary!$B$14,$N675&gt;EDA_Summary!$B$15), "Outlier", "Normal")</f>
        <v>Normal</v>
      </c>
      <c r="S675">
        <v>2</v>
      </c>
      <c r="T675">
        <v>372.92</v>
      </c>
      <c r="U675">
        <v>7</v>
      </c>
      <c r="V675">
        <v>745.84</v>
      </c>
    </row>
    <row r="676" spans="1:22" x14ac:dyDescent="0.25">
      <c r="A676" t="s">
        <v>2518</v>
      </c>
      <c r="B676" s="1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  <c r="O676" t="str">
        <f>IF(OR($N676&lt;EDA_Summary!$B$14,$N676&gt;EDA_Summary!$B$15), "Outlier", "Normal")</f>
        <v>Normal</v>
      </c>
      <c r="S676">
        <v>4</v>
      </c>
      <c r="T676">
        <v>358.75</v>
      </c>
      <c r="U676">
        <v>9</v>
      </c>
      <c r="V676">
        <v>1435</v>
      </c>
    </row>
    <row r="677" spans="1:22" x14ac:dyDescent="0.25">
      <c r="A677" t="s">
        <v>2522</v>
      </c>
      <c r="B677" s="1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  <c r="O677" t="str">
        <f>IF(OR($N677&lt;EDA_Summary!$B$14,$N677&gt;EDA_Summary!$B$15), "Outlier", "Normal")</f>
        <v>Normal</v>
      </c>
      <c r="S677">
        <v>3</v>
      </c>
      <c r="T677">
        <v>342.02</v>
      </c>
      <c r="U677">
        <v>5</v>
      </c>
      <c r="V677">
        <v>1026.06</v>
      </c>
    </row>
    <row r="678" spans="1:22" x14ac:dyDescent="0.25">
      <c r="A678" t="s">
        <v>2525</v>
      </c>
      <c r="B678" s="1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  <c r="O678" t="str">
        <f>IF(OR($N678&lt;EDA_Summary!$B$14,$N678&gt;EDA_Summary!$B$15), "Outlier", "Normal")</f>
        <v>Normal</v>
      </c>
      <c r="S678">
        <v>2</v>
      </c>
      <c r="T678">
        <v>422.34</v>
      </c>
      <c r="U678">
        <v>4</v>
      </c>
      <c r="V678">
        <v>844.68</v>
      </c>
    </row>
    <row r="679" spans="1:22" x14ac:dyDescent="0.25">
      <c r="A679" t="s">
        <v>2528</v>
      </c>
      <c r="B679" s="1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  <c r="O679" t="str">
        <f>IF(OR($N679&lt;EDA_Summary!$B$14,$N679&gt;EDA_Summary!$B$15), "Outlier", "Normal")</f>
        <v>Normal</v>
      </c>
      <c r="S679">
        <v>5</v>
      </c>
      <c r="T679">
        <v>22.07</v>
      </c>
      <c r="U679">
        <v>7</v>
      </c>
      <c r="V679">
        <v>110.35</v>
      </c>
    </row>
    <row r="680" spans="1:22" x14ac:dyDescent="0.25">
      <c r="A680" t="s">
        <v>2531</v>
      </c>
      <c r="B680" s="1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  <c r="O680" t="str">
        <f>IF(OR($N680&lt;EDA_Summary!$B$14,$N680&gt;EDA_Summary!$B$15), "Outlier", "Normal")</f>
        <v>Normal</v>
      </c>
      <c r="S680">
        <v>3</v>
      </c>
      <c r="T680">
        <v>163.13</v>
      </c>
      <c r="U680">
        <v>5</v>
      </c>
      <c r="V680">
        <v>489.39</v>
      </c>
    </row>
    <row r="681" spans="1:22" x14ac:dyDescent="0.25">
      <c r="A681" t="s">
        <v>2534</v>
      </c>
      <c r="B681" s="1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  <c r="O681" t="str">
        <f>IF(OR($N681&lt;EDA_Summary!$B$14,$N681&gt;EDA_Summary!$B$15), "Outlier", "Normal")</f>
        <v>Normal</v>
      </c>
      <c r="S681">
        <v>3</v>
      </c>
      <c r="T681">
        <v>360.66</v>
      </c>
      <c r="U681">
        <v>5</v>
      </c>
      <c r="V681">
        <v>1081.98</v>
      </c>
    </row>
    <row r="682" spans="1:22" x14ac:dyDescent="0.25">
      <c r="A682" t="s">
        <v>2537</v>
      </c>
      <c r="B682" s="1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  <c r="O682" t="str">
        <f>IF(OR($N682&lt;EDA_Summary!$B$14,$N682&gt;EDA_Summary!$B$15), "Outlier", "Normal")</f>
        <v>Normal</v>
      </c>
      <c r="S682">
        <v>3</v>
      </c>
      <c r="T682">
        <v>463.39</v>
      </c>
      <c r="U682">
        <v>3</v>
      </c>
      <c r="V682">
        <v>1390.17</v>
      </c>
    </row>
    <row r="683" spans="1:22" x14ac:dyDescent="0.25">
      <c r="A683" t="s">
        <v>2541</v>
      </c>
      <c r="B683" s="1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  <c r="O683" t="str">
        <f>IF(OR($N683&lt;EDA_Summary!$B$14,$N683&gt;EDA_Summary!$B$15), "Outlier", "Normal")</f>
        <v>Normal</v>
      </c>
      <c r="S683">
        <v>1</v>
      </c>
      <c r="T683">
        <v>155.27000000000001</v>
      </c>
      <c r="U683">
        <v>6</v>
      </c>
      <c r="V683">
        <v>155.27000000000001</v>
      </c>
    </row>
    <row r="684" spans="1:22" x14ac:dyDescent="0.25">
      <c r="A684" t="s">
        <v>2545</v>
      </c>
      <c r="B684" s="1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  <c r="O684" t="str">
        <f>IF(OR($N684&lt;EDA_Summary!$B$14,$N684&gt;EDA_Summary!$B$15), "Outlier", "Normal")</f>
        <v>Normal</v>
      </c>
      <c r="S684">
        <v>3</v>
      </c>
      <c r="T684">
        <v>509.42</v>
      </c>
      <c r="U684">
        <v>5</v>
      </c>
      <c r="V684">
        <v>1528.26</v>
      </c>
    </row>
    <row r="685" spans="1:22" x14ac:dyDescent="0.25">
      <c r="A685" t="s">
        <v>2548</v>
      </c>
      <c r="B685" s="1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  <c r="O685" t="str">
        <f>IF(OR($N685&lt;EDA_Summary!$B$14,$N685&gt;EDA_Summary!$B$15), "Outlier", "Normal")</f>
        <v>Normal</v>
      </c>
      <c r="S685">
        <v>4</v>
      </c>
      <c r="T685">
        <v>652.48</v>
      </c>
      <c r="U685">
        <v>5</v>
      </c>
      <c r="V685">
        <v>2609.92</v>
      </c>
    </row>
    <row r="686" spans="1:22" x14ac:dyDescent="0.25">
      <c r="A686" t="s">
        <v>2552</v>
      </c>
      <c r="B686" s="1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  <c r="O686" t="str">
        <f>IF(OR($N686&lt;EDA_Summary!$B$14,$N686&gt;EDA_Summary!$B$15), "Outlier", "Normal")</f>
        <v>Normal</v>
      </c>
      <c r="S686">
        <v>4</v>
      </c>
      <c r="T686">
        <v>34.840000000000003</v>
      </c>
      <c r="U686">
        <v>8</v>
      </c>
      <c r="V686">
        <v>139.36000000000001</v>
      </c>
    </row>
    <row r="687" spans="1:22" x14ac:dyDescent="0.25">
      <c r="A687" t="s">
        <v>2556</v>
      </c>
      <c r="B687" s="1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  <c r="O687" t="str">
        <f>IF(OR($N687&lt;EDA_Summary!$B$14,$N687&gt;EDA_Summary!$B$15), "Outlier", "Normal")</f>
        <v>Normal</v>
      </c>
      <c r="S687">
        <v>1</v>
      </c>
      <c r="T687">
        <v>234.37</v>
      </c>
      <c r="U687">
        <v>5</v>
      </c>
      <c r="V687">
        <v>234.37</v>
      </c>
    </row>
    <row r="688" spans="1:22" x14ac:dyDescent="0.25">
      <c r="A688" t="s">
        <v>2560</v>
      </c>
      <c r="B688" s="1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  <c r="O688" t="str">
        <f>IF(OR($N688&lt;EDA_Summary!$B$14,$N688&gt;EDA_Summary!$B$15), "Outlier", "Normal")</f>
        <v>Normal</v>
      </c>
      <c r="S688">
        <v>3</v>
      </c>
      <c r="T688">
        <v>53.6</v>
      </c>
      <c r="U688">
        <v>4</v>
      </c>
      <c r="V688">
        <v>160.80000000000001</v>
      </c>
    </row>
    <row r="689" spans="1:22" x14ac:dyDescent="0.25">
      <c r="A689" t="s">
        <v>2564</v>
      </c>
      <c r="B689" s="1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  <c r="O689" t="str">
        <f>IF(OR($N689&lt;EDA_Summary!$B$14,$N689&gt;EDA_Summary!$B$15), "Outlier", "Normal")</f>
        <v>Normal</v>
      </c>
      <c r="S689">
        <v>1</v>
      </c>
      <c r="T689">
        <v>332.09</v>
      </c>
      <c r="U689">
        <v>5</v>
      </c>
      <c r="V689">
        <v>332.09</v>
      </c>
    </row>
    <row r="690" spans="1:22" x14ac:dyDescent="0.25">
      <c r="A690" t="s">
        <v>2568</v>
      </c>
      <c r="B690" s="1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  <c r="O690" t="str">
        <f>IF(OR($N690&lt;EDA_Summary!$B$14,$N690&gt;EDA_Summary!$B$15), "Outlier", "Normal")</f>
        <v>Normal</v>
      </c>
      <c r="S690">
        <v>4</v>
      </c>
      <c r="T690">
        <v>593.22</v>
      </c>
      <c r="U690">
        <v>8</v>
      </c>
      <c r="V690">
        <v>2372.88</v>
      </c>
    </row>
    <row r="691" spans="1:22" x14ac:dyDescent="0.25">
      <c r="A691" t="s">
        <v>2571</v>
      </c>
      <c r="B691" s="1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  <c r="O691" t="str">
        <f>IF(OR($N691&lt;EDA_Summary!$B$14,$N691&gt;EDA_Summary!$B$15), "Outlier", "Normal")</f>
        <v>Normal</v>
      </c>
      <c r="S691">
        <v>2</v>
      </c>
      <c r="T691">
        <v>444.84</v>
      </c>
      <c r="U691">
        <v>7</v>
      </c>
      <c r="V691">
        <v>889.68</v>
      </c>
    </row>
    <row r="692" spans="1:22" x14ac:dyDescent="0.25">
      <c r="A692" t="s">
        <v>2575</v>
      </c>
      <c r="B692" s="1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  <c r="O692" t="str">
        <f>IF(OR($N692&lt;EDA_Summary!$B$14,$N692&gt;EDA_Summary!$B$15), "Outlier", "Normal")</f>
        <v>Normal</v>
      </c>
      <c r="S692">
        <v>1</v>
      </c>
      <c r="T692">
        <v>24.48</v>
      </c>
      <c r="U692">
        <v>1</v>
      </c>
      <c r="V692">
        <v>24.48</v>
      </c>
    </row>
    <row r="693" spans="1:22" x14ac:dyDescent="0.25">
      <c r="A693" t="s">
        <v>2578</v>
      </c>
      <c r="B693" s="1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  <c r="O693" t="str">
        <f>IF(OR($N693&lt;EDA_Summary!$B$14,$N693&gt;EDA_Summary!$B$15), "Outlier", "Normal")</f>
        <v>Normal</v>
      </c>
      <c r="S693">
        <v>3</v>
      </c>
      <c r="T693">
        <v>239.08</v>
      </c>
      <c r="U693">
        <v>8</v>
      </c>
      <c r="V693">
        <v>717.24</v>
      </c>
    </row>
    <row r="694" spans="1:22" x14ac:dyDescent="0.25">
      <c r="A694" t="s">
        <v>2582</v>
      </c>
      <c r="B694" s="1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  <c r="O694" t="str">
        <f>IF(OR($N694&lt;EDA_Summary!$B$14,$N694&gt;EDA_Summary!$B$15), "Outlier", "Normal")</f>
        <v>Normal</v>
      </c>
      <c r="S694">
        <v>5</v>
      </c>
      <c r="T694">
        <v>196.84</v>
      </c>
      <c r="U694">
        <v>5</v>
      </c>
      <c r="V694">
        <v>984.2</v>
      </c>
    </row>
    <row r="695" spans="1:22" x14ac:dyDescent="0.25">
      <c r="A695" t="s">
        <v>2585</v>
      </c>
      <c r="B695" s="1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  <c r="O695" t="str">
        <f>IF(OR($N695&lt;EDA_Summary!$B$14,$N695&gt;EDA_Summary!$B$15), "Outlier", "Normal")</f>
        <v>Normal</v>
      </c>
      <c r="S695">
        <v>1</v>
      </c>
      <c r="T695">
        <v>176.58</v>
      </c>
      <c r="U695">
        <v>4</v>
      </c>
      <c r="V695">
        <v>176.58</v>
      </c>
    </row>
    <row r="696" spans="1:22" x14ac:dyDescent="0.25">
      <c r="A696" t="s">
        <v>2589</v>
      </c>
      <c r="B696" s="1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  <c r="O696" t="str">
        <f>IF(OR($N696&lt;EDA_Summary!$B$14,$N696&gt;EDA_Summary!$B$15), "Outlier", "Normal")</f>
        <v>Normal</v>
      </c>
      <c r="S696">
        <v>4</v>
      </c>
      <c r="T696">
        <v>666.52</v>
      </c>
      <c r="U696">
        <v>8</v>
      </c>
      <c r="V696">
        <v>2666.08</v>
      </c>
    </row>
    <row r="697" spans="1:22" x14ac:dyDescent="0.25">
      <c r="A697" t="s">
        <v>2592</v>
      </c>
      <c r="B697" s="1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  <c r="O697" t="str">
        <f>IF(OR($N697&lt;EDA_Summary!$B$14,$N697&gt;EDA_Summary!$B$15), "Outlier", "Normal")</f>
        <v>Normal</v>
      </c>
      <c r="S697">
        <v>5</v>
      </c>
      <c r="T697">
        <v>101.3</v>
      </c>
      <c r="U697">
        <v>7</v>
      </c>
      <c r="V697">
        <v>506.5</v>
      </c>
    </row>
    <row r="698" spans="1:22" x14ac:dyDescent="0.25">
      <c r="A698" t="s">
        <v>2595</v>
      </c>
      <c r="B698" s="1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  <c r="O698" t="str">
        <f>IF(OR($N698&lt;EDA_Summary!$B$14,$N698&gt;EDA_Summary!$B$15), "Outlier", "Normal")</f>
        <v>Normal</v>
      </c>
      <c r="S698">
        <v>4</v>
      </c>
      <c r="T698">
        <v>151.19999999999999</v>
      </c>
      <c r="U698">
        <v>9</v>
      </c>
      <c r="V698">
        <v>604.79999999999995</v>
      </c>
    </row>
    <row r="699" spans="1:22" x14ac:dyDescent="0.25">
      <c r="A699" t="s">
        <v>2599</v>
      </c>
      <c r="B699" s="1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  <c r="O699" t="str">
        <f>IF(OR($N699&lt;EDA_Summary!$B$14,$N699&gt;EDA_Summary!$B$15), "Outlier", "Normal")</f>
        <v>Normal</v>
      </c>
      <c r="S699">
        <v>5</v>
      </c>
      <c r="T699">
        <v>94.85</v>
      </c>
      <c r="U699">
        <v>6</v>
      </c>
      <c r="V699">
        <v>474.25</v>
      </c>
    </row>
    <row r="700" spans="1:22" x14ac:dyDescent="0.25">
      <c r="A700" t="s">
        <v>2602</v>
      </c>
      <c r="B700" s="1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  <c r="O700" t="str">
        <f>IF(OR($N700&lt;EDA_Summary!$B$14,$N700&gt;EDA_Summary!$B$15), "Outlier", "Normal")</f>
        <v>Normal</v>
      </c>
      <c r="S700">
        <v>2</v>
      </c>
      <c r="T700">
        <v>388.22</v>
      </c>
      <c r="U700">
        <v>2</v>
      </c>
      <c r="V700">
        <v>776.44</v>
      </c>
    </row>
    <row r="701" spans="1:22" x14ac:dyDescent="0.25">
      <c r="A701" t="s">
        <v>2605</v>
      </c>
      <c r="B701" s="1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  <c r="O701" t="str">
        <f>IF(OR($N701&lt;EDA_Summary!$B$14,$N701&gt;EDA_Summary!$B$15), "Outlier", "Normal")</f>
        <v>Normal</v>
      </c>
      <c r="S701">
        <v>3</v>
      </c>
      <c r="T701">
        <v>614.15</v>
      </c>
      <c r="U701">
        <v>3</v>
      </c>
      <c r="V701">
        <v>1842.45</v>
      </c>
    </row>
    <row r="702" spans="1:22" x14ac:dyDescent="0.25">
      <c r="A702" t="s">
        <v>2609</v>
      </c>
      <c r="B702" s="1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  <c r="O702" t="str">
        <f>IF(OR($N702&lt;EDA_Summary!$B$14,$N702&gt;EDA_Summary!$B$15), "Outlier", "Normal")</f>
        <v>Normal</v>
      </c>
      <c r="S702">
        <v>2</v>
      </c>
      <c r="T702">
        <v>92.91</v>
      </c>
      <c r="U702">
        <v>3</v>
      </c>
      <c r="V702">
        <v>185.82</v>
      </c>
    </row>
    <row r="703" spans="1:22" x14ac:dyDescent="0.25">
      <c r="A703" t="s">
        <v>2613</v>
      </c>
      <c r="B703" s="1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  <c r="O703" t="str">
        <f>IF(OR($N703&lt;EDA_Summary!$B$14,$N703&gt;EDA_Summary!$B$15), "Outlier", "Normal")</f>
        <v>Normal</v>
      </c>
      <c r="S703">
        <v>3</v>
      </c>
      <c r="T703">
        <v>92.22</v>
      </c>
      <c r="U703">
        <v>5</v>
      </c>
      <c r="V703">
        <v>276.66000000000003</v>
      </c>
    </row>
    <row r="704" spans="1:22" x14ac:dyDescent="0.25">
      <c r="A704" t="s">
        <v>2616</v>
      </c>
      <c r="B704" s="1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  <c r="O704" t="str">
        <f>IF(OR($N704&lt;EDA_Summary!$B$14,$N704&gt;EDA_Summary!$B$15), "Outlier", "Normal")</f>
        <v>Normal</v>
      </c>
      <c r="S704">
        <v>3</v>
      </c>
      <c r="T704">
        <v>562.54999999999995</v>
      </c>
      <c r="U704">
        <v>6</v>
      </c>
      <c r="V704">
        <v>1687.65</v>
      </c>
    </row>
    <row r="705" spans="1:22" x14ac:dyDescent="0.25">
      <c r="A705" t="s">
        <v>2619</v>
      </c>
      <c r="B705" s="1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  <c r="O705" t="str">
        <f>IF(OR($N705&lt;EDA_Summary!$B$14,$N705&gt;EDA_Summary!$B$15), "Outlier", "Normal")</f>
        <v>Normal</v>
      </c>
      <c r="S705">
        <v>1</v>
      </c>
      <c r="T705">
        <v>92.79</v>
      </c>
      <c r="U705">
        <v>3</v>
      </c>
      <c r="V705">
        <v>92.79</v>
      </c>
    </row>
    <row r="706" spans="1:22" x14ac:dyDescent="0.25">
      <c r="A706" t="s">
        <v>2623</v>
      </c>
      <c r="B706" s="1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  <c r="O706" t="str">
        <f>IF(OR($N706&lt;EDA_Summary!$B$14,$N706&gt;EDA_Summary!$B$15), "Outlier", "Normal")</f>
        <v>Normal</v>
      </c>
      <c r="S706">
        <v>4</v>
      </c>
      <c r="T706">
        <v>30.27</v>
      </c>
      <c r="U706">
        <v>9</v>
      </c>
      <c r="V706">
        <v>121.08</v>
      </c>
    </row>
    <row r="707" spans="1:22" x14ac:dyDescent="0.25">
      <c r="A707" t="s">
        <v>2626</v>
      </c>
      <c r="B707" s="1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  <c r="O707" t="str">
        <f>IF(OR($N707&lt;EDA_Summary!$B$14,$N707&gt;EDA_Summary!$B$15), "Outlier", "Normal")</f>
        <v>Normal</v>
      </c>
      <c r="S707">
        <v>2</v>
      </c>
      <c r="T707">
        <v>49.08</v>
      </c>
      <c r="U707">
        <v>7</v>
      </c>
      <c r="V707">
        <v>98.16</v>
      </c>
    </row>
    <row r="708" spans="1:22" x14ac:dyDescent="0.25">
      <c r="A708" t="s">
        <v>2630</v>
      </c>
      <c r="B708" s="1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  <c r="O708" t="str">
        <f>IF(OR($N708&lt;EDA_Summary!$B$14,$N708&gt;EDA_Summary!$B$15), "Outlier", "Normal")</f>
        <v>Normal</v>
      </c>
      <c r="S708">
        <v>5</v>
      </c>
      <c r="T708">
        <v>228.09</v>
      </c>
      <c r="U708">
        <v>9</v>
      </c>
      <c r="V708">
        <v>1140.45</v>
      </c>
    </row>
    <row r="709" spans="1:22" x14ac:dyDescent="0.25">
      <c r="A709" t="s">
        <v>2633</v>
      </c>
      <c r="B709" s="1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  <c r="O709" t="str">
        <f>IF(OR($N709&lt;EDA_Summary!$B$14,$N709&gt;EDA_Summary!$B$15), "Outlier", "Normal")</f>
        <v>Normal</v>
      </c>
      <c r="S709">
        <v>4</v>
      </c>
      <c r="T709">
        <v>650.04</v>
      </c>
      <c r="U709">
        <v>6</v>
      </c>
      <c r="V709">
        <v>2600.16</v>
      </c>
    </row>
    <row r="710" spans="1:22" x14ac:dyDescent="0.25">
      <c r="A710" t="s">
        <v>2636</v>
      </c>
      <c r="B710" s="1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  <c r="O710" t="str">
        <f>IF(OR($N710&lt;EDA_Summary!$B$14,$N710&gt;EDA_Summary!$B$15), "Outlier", "Normal")</f>
        <v>Normal</v>
      </c>
      <c r="S710">
        <v>1</v>
      </c>
      <c r="T710">
        <v>665.11</v>
      </c>
      <c r="U710">
        <v>3</v>
      </c>
      <c r="V710">
        <v>665.11</v>
      </c>
    </row>
    <row r="711" spans="1:22" x14ac:dyDescent="0.25">
      <c r="A711" t="s">
        <v>2639</v>
      </c>
      <c r="B711" s="1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  <c r="O711" t="str">
        <f>IF(OR($N711&lt;EDA_Summary!$B$14,$N711&gt;EDA_Summary!$B$15), "Outlier", "Normal")</f>
        <v>Normal</v>
      </c>
      <c r="S711">
        <v>1</v>
      </c>
      <c r="T711">
        <v>386.03</v>
      </c>
      <c r="U711">
        <v>4</v>
      </c>
      <c r="V711">
        <v>386.03</v>
      </c>
    </row>
    <row r="712" spans="1:22" x14ac:dyDescent="0.25">
      <c r="A712" t="s">
        <v>2643</v>
      </c>
      <c r="B712" s="1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  <c r="O712" t="str">
        <f>IF(OR($N712&lt;EDA_Summary!$B$14,$N712&gt;EDA_Summary!$B$15), "Outlier", "Normal")</f>
        <v>Normal</v>
      </c>
      <c r="S712">
        <v>5</v>
      </c>
      <c r="T712">
        <v>21.54</v>
      </c>
      <c r="U712">
        <v>10</v>
      </c>
      <c r="V712">
        <v>107.7</v>
      </c>
    </row>
    <row r="713" spans="1:22" x14ac:dyDescent="0.25">
      <c r="A713" t="s">
        <v>2647</v>
      </c>
      <c r="B713" s="1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  <c r="O713" t="str">
        <f>IF(OR($N713&lt;EDA_Summary!$B$14,$N713&gt;EDA_Summary!$B$15), "Outlier", "Normal")</f>
        <v>Normal</v>
      </c>
      <c r="S713">
        <v>2</v>
      </c>
      <c r="T713">
        <v>475.78</v>
      </c>
      <c r="U713">
        <v>2</v>
      </c>
      <c r="V713">
        <v>951.56</v>
      </c>
    </row>
    <row r="714" spans="1:22" x14ac:dyDescent="0.25">
      <c r="A714" t="s">
        <v>2651</v>
      </c>
      <c r="B714" s="1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  <c r="O714" t="str">
        <f>IF(OR($N714&lt;EDA_Summary!$B$14,$N714&gt;EDA_Summary!$B$15), "Outlier", "Normal")</f>
        <v>Normal</v>
      </c>
      <c r="S714">
        <v>2</v>
      </c>
      <c r="T714">
        <v>68.400000000000006</v>
      </c>
      <c r="U714">
        <v>7</v>
      </c>
      <c r="V714">
        <v>136.80000000000001</v>
      </c>
    </row>
    <row r="715" spans="1:22" x14ac:dyDescent="0.25">
      <c r="A715" t="s">
        <v>2654</v>
      </c>
      <c r="B715" s="1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  <c r="O715" t="str">
        <f>IF(OR($N715&lt;EDA_Summary!$B$14,$N715&gt;EDA_Summary!$B$15), "Outlier", "Normal")</f>
        <v>Normal</v>
      </c>
      <c r="S715">
        <v>4</v>
      </c>
      <c r="T715">
        <v>532.49</v>
      </c>
      <c r="U715">
        <v>6</v>
      </c>
      <c r="V715">
        <v>2129.96</v>
      </c>
    </row>
    <row r="716" spans="1:22" x14ac:dyDescent="0.25">
      <c r="A716" t="s">
        <v>2657</v>
      </c>
      <c r="B716" s="1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  <c r="O716" t="str">
        <f>IF(OR($N716&lt;EDA_Summary!$B$14,$N716&gt;EDA_Summary!$B$15), "Outlier", "Normal")</f>
        <v>Normal</v>
      </c>
      <c r="S716">
        <v>1</v>
      </c>
      <c r="T716">
        <v>51.73</v>
      </c>
      <c r="U716">
        <v>1</v>
      </c>
      <c r="V716">
        <v>51.73</v>
      </c>
    </row>
    <row r="717" spans="1:22" x14ac:dyDescent="0.25">
      <c r="A717" t="s">
        <v>2660</v>
      </c>
      <c r="B717" s="1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  <c r="O717" t="str">
        <f>IF(OR($N717&lt;EDA_Summary!$B$14,$N717&gt;EDA_Summary!$B$15), "Outlier", "Normal")</f>
        <v>Normal</v>
      </c>
      <c r="S717">
        <v>3</v>
      </c>
      <c r="T717">
        <v>653.63</v>
      </c>
      <c r="U717">
        <v>7</v>
      </c>
      <c r="V717">
        <v>1960.89</v>
      </c>
    </row>
    <row r="718" spans="1:22" x14ac:dyDescent="0.25">
      <c r="A718" t="s">
        <v>2664</v>
      </c>
      <c r="B718" s="1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  <c r="O718" t="str">
        <f>IF(OR($N718&lt;EDA_Summary!$B$14,$N718&gt;EDA_Summary!$B$15), "Outlier", "Normal")</f>
        <v>Normal</v>
      </c>
      <c r="S718">
        <v>3</v>
      </c>
      <c r="T718">
        <v>454.29</v>
      </c>
      <c r="U718">
        <v>4</v>
      </c>
      <c r="V718">
        <v>1362.87</v>
      </c>
    </row>
    <row r="719" spans="1:22" x14ac:dyDescent="0.25">
      <c r="A719" t="s">
        <v>2667</v>
      </c>
      <c r="B719" s="1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  <c r="O719" t="str">
        <f>IF(OR($N719&lt;EDA_Summary!$B$14,$N719&gt;EDA_Summary!$B$15), "Outlier", "Normal")</f>
        <v>Normal</v>
      </c>
      <c r="S719">
        <v>3</v>
      </c>
      <c r="T719">
        <v>122.11</v>
      </c>
      <c r="U719">
        <v>4</v>
      </c>
      <c r="V719">
        <v>366.33</v>
      </c>
    </row>
    <row r="720" spans="1:22" x14ac:dyDescent="0.25">
      <c r="A720" t="s">
        <v>2671</v>
      </c>
      <c r="B720" s="1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  <c r="O720" t="str">
        <f>IF(OR($N720&lt;EDA_Summary!$B$14,$N720&gt;EDA_Summary!$B$15), "Outlier", "Normal")</f>
        <v>Normal</v>
      </c>
      <c r="S720">
        <v>4</v>
      </c>
      <c r="T720">
        <v>64.739999999999995</v>
      </c>
      <c r="U720">
        <v>8</v>
      </c>
      <c r="V720">
        <v>258.95999999999998</v>
      </c>
    </row>
    <row r="721" spans="1:22" x14ac:dyDescent="0.25">
      <c r="A721" t="s">
        <v>2675</v>
      </c>
      <c r="B721" s="1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  <c r="O721" t="str">
        <f>IF(OR($N721&lt;EDA_Summary!$B$14,$N721&gt;EDA_Summary!$B$15), "Outlier", "Normal")</f>
        <v>Normal</v>
      </c>
      <c r="S721">
        <v>2</v>
      </c>
      <c r="T721">
        <v>681.06</v>
      </c>
      <c r="U721">
        <v>3</v>
      </c>
      <c r="V721">
        <v>1362.12</v>
      </c>
    </row>
    <row r="722" spans="1:22" x14ac:dyDescent="0.25">
      <c r="A722" t="s">
        <v>2679</v>
      </c>
      <c r="B722" s="1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  <c r="O722" t="str">
        <f>IF(OR($N722&lt;EDA_Summary!$B$14,$N722&gt;EDA_Summary!$B$15), "Outlier", "Normal")</f>
        <v>Normal</v>
      </c>
      <c r="S722">
        <v>5</v>
      </c>
      <c r="T722">
        <v>128.94999999999999</v>
      </c>
      <c r="U722">
        <v>10</v>
      </c>
      <c r="V722">
        <v>644.75</v>
      </c>
    </row>
    <row r="723" spans="1:22" x14ac:dyDescent="0.25">
      <c r="A723" t="s">
        <v>2683</v>
      </c>
      <c r="B723" s="1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  <c r="O723" t="str">
        <f>IF(OR($N723&lt;EDA_Summary!$B$14,$N723&gt;EDA_Summary!$B$15), "Outlier", "Normal")</f>
        <v>Normal</v>
      </c>
      <c r="S723">
        <v>2</v>
      </c>
      <c r="T723">
        <v>118.59</v>
      </c>
      <c r="U723">
        <v>2</v>
      </c>
      <c r="V723">
        <v>237.18</v>
      </c>
    </row>
    <row r="724" spans="1:22" x14ac:dyDescent="0.25">
      <c r="A724" t="s">
        <v>2687</v>
      </c>
      <c r="B724" s="1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  <c r="O724" t="str">
        <f>IF(OR($N724&lt;EDA_Summary!$B$14,$N724&gt;EDA_Summary!$B$15), "Outlier", "Normal")</f>
        <v>Normal</v>
      </c>
      <c r="S724">
        <v>1</v>
      </c>
      <c r="T724">
        <v>95.1</v>
      </c>
      <c r="U724">
        <v>1</v>
      </c>
      <c r="V724">
        <v>95.1</v>
      </c>
    </row>
    <row r="725" spans="1:22" x14ac:dyDescent="0.25">
      <c r="A725" t="s">
        <v>2690</v>
      </c>
      <c r="B725" s="1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  <c r="O725" t="str">
        <f>IF(OR($N725&lt;EDA_Summary!$B$14,$N725&gt;EDA_Summary!$B$15), "Outlier", "Normal")</f>
        <v>Normal</v>
      </c>
      <c r="S725">
        <v>3</v>
      </c>
      <c r="T725">
        <v>54.95</v>
      </c>
      <c r="U725">
        <v>8</v>
      </c>
      <c r="V725">
        <v>164.85</v>
      </c>
    </row>
    <row r="726" spans="1:22" x14ac:dyDescent="0.25">
      <c r="A726" t="s">
        <v>2693</v>
      </c>
      <c r="B726" s="1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  <c r="O726" t="str">
        <f>IF(OR($N726&lt;EDA_Summary!$B$14,$N726&gt;EDA_Summary!$B$15), "Outlier", "Normal")</f>
        <v>Normal</v>
      </c>
      <c r="S726">
        <v>3</v>
      </c>
      <c r="T726">
        <v>136.97</v>
      </c>
      <c r="U726">
        <v>4</v>
      </c>
      <c r="V726">
        <v>410.91</v>
      </c>
    </row>
    <row r="727" spans="1:22" x14ac:dyDescent="0.25">
      <c r="A727" t="s">
        <v>2696</v>
      </c>
      <c r="B727" s="1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  <c r="O727" t="str">
        <f>IF(OR($N727&lt;EDA_Summary!$B$14,$N727&gt;EDA_Summary!$B$15), "Outlier", "Normal")</f>
        <v>Normal</v>
      </c>
      <c r="S727">
        <v>2</v>
      </c>
      <c r="T727">
        <v>194.85</v>
      </c>
      <c r="U727">
        <v>5</v>
      </c>
      <c r="V727">
        <v>389.7</v>
      </c>
    </row>
    <row r="728" spans="1:22" x14ac:dyDescent="0.25">
      <c r="A728" t="s">
        <v>2699</v>
      </c>
      <c r="B728" s="1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  <c r="O728" t="str">
        <f>IF(OR($N728&lt;EDA_Summary!$B$14,$N728&gt;EDA_Summary!$B$15), "Outlier", "Normal")</f>
        <v>Normal</v>
      </c>
      <c r="S728">
        <v>4</v>
      </c>
      <c r="T728">
        <v>583.02</v>
      </c>
      <c r="U728">
        <v>4</v>
      </c>
      <c r="V728">
        <v>2332.08</v>
      </c>
    </row>
    <row r="729" spans="1:22" x14ac:dyDescent="0.25">
      <c r="A729" t="s">
        <v>2703</v>
      </c>
      <c r="B729" s="1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  <c r="O729" t="str">
        <f>IF(OR($N729&lt;EDA_Summary!$B$14,$N729&gt;EDA_Summary!$B$15), "Outlier", "Normal")</f>
        <v>Normal</v>
      </c>
      <c r="S729">
        <v>5</v>
      </c>
      <c r="T729">
        <v>95.75</v>
      </c>
      <c r="U729">
        <v>8</v>
      </c>
      <c r="V729">
        <v>478.75</v>
      </c>
    </row>
    <row r="730" spans="1:22" x14ac:dyDescent="0.25">
      <c r="A730" t="s">
        <v>2706</v>
      </c>
      <c r="B730" s="1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  <c r="O730" t="str">
        <f>IF(OR($N730&lt;EDA_Summary!$B$14,$N730&gt;EDA_Summary!$B$15), "Outlier", "Normal")</f>
        <v>Normal</v>
      </c>
      <c r="S730">
        <v>4</v>
      </c>
      <c r="T730">
        <v>325.76</v>
      </c>
      <c r="U730">
        <v>8</v>
      </c>
      <c r="V730">
        <v>1303.04</v>
      </c>
    </row>
    <row r="731" spans="1:22" x14ac:dyDescent="0.25">
      <c r="A731" t="s">
        <v>2710</v>
      </c>
      <c r="B731" s="1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  <c r="O731" t="str">
        <f>IF(OR($N731&lt;EDA_Summary!$B$14,$N731&gt;EDA_Summary!$B$15), "Outlier", "Normal")</f>
        <v>Normal</v>
      </c>
      <c r="S731">
        <v>4</v>
      </c>
      <c r="T731">
        <v>186.41</v>
      </c>
      <c r="U731">
        <v>6</v>
      </c>
      <c r="V731">
        <v>745.64</v>
      </c>
    </row>
    <row r="732" spans="1:22" x14ac:dyDescent="0.25">
      <c r="A732" t="s">
        <v>2713</v>
      </c>
      <c r="B732" s="1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  <c r="O732" t="str">
        <f>IF(OR($N732&lt;EDA_Summary!$B$14,$N732&gt;EDA_Summary!$B$15), "Outlier", "Normal")</f>
        <v>Normal</v>
      </c>
      <c r="S732">
        <v>1</v>
      </c>
      <c r="T732">
        <v>474.6</v>
      </c>
      <c r="U732">
        <v>4</v>
      </c>
      <c r="V732">
        <v>474.6</v>
      </c>
    </row>
    <row r="733" spans="1:22" x14ac:dyDescent="0.25">
      <c r="A733" t="s">
        <v>2716</v>
      </c>
      <c r="B733" s="1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  <c r="O733" t="str">
        <f>IF(OR($N733&lt;EDA_Summary!$B$14,$N733&gt;EDA_Summary!$B$15), "Outlier", "Normal")</f>
        <v>Normal</v>
      </c>
      <c r="S733">
        <v>5</v>
      </c>
      <c r="T733">
        <v>584.46</v>
      </c>
      <c r="U733">
        <v>8</v>
      </c>
      <c r="V733">
        <v>2922.3</v>
      </c>
    </row>
    <row r="734" spans="1:22" x14ac:dyDescent="0.25">
      <c r="A734" t="s">
        <v>2720</v>
      </c>
      <c r="B734" s="1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  <c r="O734" t="str">
        <f>IF(OR($N734&lt;EDA_Summary!$B$14,$N734&gt;EDA_Summary!$B$15), "Outlier", "Normal")</f>
        <v>Normal</v>
      </c>
      <c r="S734">
        <v>1</v>
      </c>
      <c r="T734">
        <v>132.05000000000001</v>
      </c>
      <c r="U734">
        <v>2</v>
      </c>
      <c r="V734">
        <v>132.05000000000001</v>
      </c>
    </row>
    <row r="735" spans="1:22" x14ac:dyDescent="0.25">
      <c r="A735" t="s">
        <v>2723</v>
      </c>
      <c r="B735" s="1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  <c r="O735" t="str">
        <f>IF(OR($N735&lt;EDA_Summary!$B$14,$N735&gt;EDA_Summary!$B$15), "Outlier", "Normal")</f>
        <v>Normal</v>
      </c>
      <c r="S735">
        <v>4</v>
      </c>
      <c r="T735">
        <v>494.84</v>
      </c>
      <c r="U735">
        <v>8</v>
      </c>
      <c r="V735">
        <v>1979.36</v>
      </c>
    </row>
    <row r="736" spans="1:22" x14ac:dyDescent="0.25">
      <c r="A736" t="s">
        <v>2726</v>
      </c>
      <c r="B736" s="1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  <c r="O736" t="str">
        <f>IF(OR($N736&lt;EDA_Summary!$B$14,$N736&gt;EDA_Summary!$B$15), "Outlier", "Normal")</f>
        <v>Normal</v>
      </c>
      <c r="S736">
        <v>4</v>
      </c>
      <c r="T736">
        <v>224.61</v>
      </c>
      <c r="U736">
        <v>6</v>
      </c>
      <c r="V736">
        <v>898.44</v>
      </c>
    </row>
    <row r="737" spans="1:22" x14ac:dyDescent="0.25">
      <c r="A737" t="s">
        <v>2729</v>
      </c>
      <c r="B737" s="1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  <c r="O737" t="str">
        <f>IF(OR($N737&lt;EDA_Summary!$B$14,$N737&gt;EDA_Summary!$B$15), "Outlier", "Normal")</f>
        <v>Normal</v>
      </c>
      <c r="S737">
        <v>4</v>
      </c>
      <c r="T737">
        <v>44.07</v>
      </c>
      <c r="U737">
        <v>6</v>
      </c>
      <c r="V737">
        <v>176.28</v>
      </c>
    </row>
    <row r="738" spans="1:22" x14ac:dyDescent="0.25">
      <c r="A738" t="s">
        <v>2732</v>
      </c>
      <c r="B738" s="1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  <c r="O738" t="str">
        <f>IF(OR($N738&lt;EDA_Summary!$B$14,$N738&gt;EDA_Summary!$B$15), "Outlier", "Normal")</f>
        <v>Normal</v>
      </c>
      <c r="S738">
        <v>5</v>
      </c>
      <c r="T738">
        <v>418.53</v>
      </c>
      <c r="U738">
        <v>6</v>
      </c>
      <c r="V738">
        <v>2092.65</v>
      </c>
    </row>
    <row r="739" spans="1:22" x14ac:dyDescent="0.25">
      <c r="A739" t="s">
        <v>2735</v>
      </c>
      <c r="B739" s="1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  <c r="O739" t="str">
        <f>IF(OR($N739&lt;EDA_Summary!$B$14,$N739&gt;EDA_Summary!$B$15), "Outlier", "Normal")</f>
        <v>Normal</v>
      </c>
      <c r="S739">
        <v>4</v>
      </c>
      <c r="T739">
        <v>532.87</v>
      </c>
      <c r="U739">
        <v>9</v>
      </c>
      <c r="V739">
        <v>2131.48</v>
      </c>
    </row>
    <row r="740" spans="1:22" x14ac:dyDescent="0.25">
      <c r="A740" t="s">
        <v>2739</v>
      </c>
      <c r="B740" s="1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  <c r="O740" t="str">
        <f>IF(OR($N740&lt;EDA_Summary!$B$14,$N740&gt;EDA_Summary!$B$15), "Outlier", "Normal")</f>
        <v>Normal</v>
      </c>
      <c r="S740">
        <v>2</v>
      </c>
      <c r="T740">
        <v>485.37</v>
      </c>
      <c r="U740">
        <v>5</v>
      </c>
      <c r="V740">
        <v>970.74</v>
      </c>
    </row>
    <row r="741" spans="1:22" x14ac:dyDescent="0.25">
      <c r="A741" t="s">
        <v>2743</v>
      </c>
      <c r="B741" s="1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  <c r="O741" t="str">
        <f>IF(OR($N741&lt;EDA_Summary!$B$14,$N741&gt;EDA_Summary!$B$15), "Outlier", "Normal")</f>
        <v>Normal</v>
      </c>
      <c r="S741">
        <v>4</v>
      </c>
      <c r="T741">
        <v>386.73</v>
      </c>
      <c r="U741">
        <v>4</v>
      </c>
      <c r="V741">
        <v>1546.92</v>
      </c>
    </row>
    <row r="742" spans="1:22" x14ac:dyDescent="0.25">
      <c r="A742" t="s">
        <v>2746</v>
      </c>
      <c r="B742" s="1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  <c r="O742" t="str">
        <f>IF(OR($N742&lt;EDA_Summary!$B$14,$N742&gt;EDA_Summary!$B$15), "Outlier", "Normal")</f>
        <v>Normal</v>
      </c>
      <c r="S742">
        <v>2</v>
      </c>
      <c r="T742">
        <v>377.47</v>
      </c>
      <c r="U742">
        <v>7</v>
      </c>
      <c r="V742">
        <v>754.94</v>
      </c>
    </row>
    <row r="743" spans="1:22" x14ac:dyDescent="0.25">
      <c r="A743" t="s">
        <v>2749</v>
      </c>
      <c r="B743" s="1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  <c r="O743" t="str">
        <f>IF(OR($N743&lt;EDA_Summary!$B$14,$N743&gt;EDA_Summary!$B$15), "Outlier", "Normal")</f>
        <v>Normal</v>
      </c>
      <c r="S743">
        <v>5</v>
      </c>
      <c r="T743">
        <v>332.64</v>
      </c>
      <c r="U743">
        <v>10</v>
      </c>
      <c r="V743">
        <v>1663.2</v>
      </c>
    </row>
    <row r="744" spans="1:22" x14ac:dyDescent="0.25">
      <c r="A744" t="s">
        <v>2753</v>
      </c>
      <c r="B744" s="1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  <c r="O744" t="str">
        <f>IF(OR($N744&lt;EDA_Summary!$B$14,$N744&gt;EDA_Summary!$B$15), "Outlier", "Normal")</f>
        <v>Normal</v>
      </c>
      <c r="S744">
        <v>3</v>
      </c>
      <c r="T744">
        <v>699.93</v>
      </c>
      <c r="U744">
        <v>7</v>
      </c>
      <c r="V744">
        <v>2099.79</v>
      </c>
    </row>
    <row r="745" spans="1:22" x14ac:dyDescent="0.25">
      <c r="A745" t="s">
        <v>2756</v>
      </c>
      <c r="B745" s="1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  <c r="O745" t="str">
        <f>IF(OR($N745&lt;EDA_Summary!$B$14,$N745&gt;EDA_Summary!$B$15), "Outlier", "Normal")</f>
        <v>Normal</v>
      </c>
      <c r="S745">
        <v>1</v>
      </c>
      <c r="T745">
        <v>576.35</v>
      </c>
      <c r="U745">
        <v>1</v>
      </c>
      <c r="V745">
        <v>576.35</v>
      </c>
    </row>
    <row r="746" spans="1:22" x14ac:dyDescent="0.25">
      <c r="A746" t="s">
        <v>2759</v>
      </c>
      <c r="B746" s="1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  <c r="O746" t="str">
        <f>IF(OR($N746&lt;EDA_Summary!$B$14,$N746&gt;EDA_Summary!$B$15), "Outlier", "Normal")</f>
        <v>Normal</v>
      </c>
      <c r="S746">
        <v>2</v>
      </c>
      <c r="T746">
        <v>461.37</v>
      </c>
      <c r="U746">
        <v>5</v>
      </c>
      <c r="V746">
        <v>922.74</v>
      </c>
    </row>
    <row r="747" spans="1:22" x14ac:dyDescent="0.25">
      <c r="A747" t="s">
        <v>2763</v>
      </c>
      <c r="B747" s="1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  <c r="O747" t="str">
        <f>IF(OR($N747&lt;EDA_Summary!$B$14,$N747&gt;EDA_Summary!$B$15), "Outlier", "Normal")</f>
        <v>Normal</v>
      </c>
      <c r="S747">
        <v>4</v>
      </c>
      <c r="T747">
        <v>111.3</v>
      </c>
      <c r="U747">
        <v>7</v>
      </c>
      <c r="V747">
        <v>445.2</v>
      </c>
    </row>
    <row r="748" spans="1:22" x14ac:dyDescent="0.25">
      <c r="A748" t="s">
        <v>2767</v>
      </c>
      <c r="B748" s="1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  <c r="O748" t="str">
        <f>IF(OR($N748&lt;EDA_Summary!$B$14,$N748&gt;EDA_Summary!$B$15), "Outlier", "Normal")</f>
        <v>Normal</v>
      </c>
      <c r="S748">
        <v>3</v>
      </c>
      <c r="T748">
        <v>661.89</v>
      </c>
      <c r="U748">
        <v>6</v>
      </c>
      <c r="V748">
        <v>1985.67</v>
      </c>
    </row>
    <row r="749" spans="1:22" x14ac:dyDescent="0.25">
      <c r="A749" t="s">
        <v>2771</v>
      </c>
      <c r="B749" s="1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  <c r="O749" t="str">
        <f>IF(OR($N749&lt;EDA_Summary!$B$14,$N749&gt;EDA_Summary!$B$15), "Outlier", "Normal")</f>
        <v>Normal</v>
      </c>
      <c r="S749">
        <v>2</v>
      </c>
      <c r="T749">
        <v>259.58</v>
      </c>
      <c r="U749">
        <v>7</v>
      </c>
      <c r="V749">
        <v>519.16</v>
      </c>
    </row>
    <row r="750" spans="1:22" x14ac:dyDescent="0.25">
      <c r="A750" t="s">
        <v>2775</v>
      </c>
      <c r="B750" s="1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  <c r="O750" t="str">
        <f>IF(OR($N750&lt;EDA_Summary!$B$14,$N750&gt;EDA_Summary!$B$15), "Outlier", "Normal")</f>
        <v>Normal</v>
      </c>
      <c r="S750">
        <v>3</v>
      </c>
      <c r="T750">
        <v>70.81</v>
      </c>
      <c r="U750">
        <v>8</v>
      </c>
      <c r="V750">
        <v>212.43</v>
      </c>
    </row>
    <row r="751" spans="1:22" x14ac:dyDescent="0.25">
      <c r="A751" t="s">
        <v>2778</v>
      </c>
      <c r="B751" s="1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  <c r="O751" t="str">
        <f>IF(OR($N751&lt;EDA_Summary!$B$14,$N751&gt;EDA_Summary!$B$15), "Outlier", "Normal")</f>
        <v>Normal</v>
      </c>
      <c r="S751">
        <v>1</v>
      </c>
      <c r="T751">
        <v>518.39</v>
      </c>
      <c r="U751">
        <v>4</v>
      </c>
      <c r="V751">
        <v>518.39</v>
      </c>
    </row>
    <row r="752" spans="1:22" x14ac:dyDescent="0.25">
      <c r="A752" t="s">
        <v>2782</v>
      </c>
      <c r="B752" s="1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  <c r="O752" t="str">
        <f>IF(OR($N752&lt;EDA_Summary!$B$14,$N752&gt;EDA_Summary!$B$15), "Outlier", "Normal")</f>
        <v>Normal</v>
      </c>
      <c r="S752">
        <v>4</v>
      </c>
      <c r="T752">
        <v>145.41</v>
      </c>
      <c r="U752">
        <v>7</v>
      </c>
      <c r="V752">
        <v>581.64</v>
      </c>
    </row>
    <row r="753" spans="1:22" x14ac:dyDescent="0.25">
      <c r="A753" t="s">
        <v>2786</v>
      </c>
      <c r="B753" s="1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  <c r="O753" t="str">
        <f>IF(OR($N753&lt;EDA_Summary!$B$14,$N753&gt;EDA_Summary!$B$15), "Outlier", "Normal")</f>
        <v>Normal</v>
      </c>
      <c r="S753">
        <v>2</v>
      </c>
      <c r="T753">
        <v>599.86</v>
      </c>
      <c r="U753">
        <v>7</v>
      </c>
      <c r="V753">
        <v>1199.72</v>
      </c>
    </row>
    <row r="754" spans="1:22" x14ac:dyDescent="0.25">
      <c r="A754" t="s">
        <v>2790</v>
      </c>
      <c r="B754" s="1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  <c r="O754" t="str">
        <f>IF(OR($N754&lt;EDA_Summary!$B$14,$N754&gt;EDA_Summary!$B$15), "Outlier", "Normal")</f>
        <v>Normal</v>
      </c>
      <c r="S754">
        <v>4</v>
      </c>
      <c r="T754">
        <v>429.37</v>
      </c>
      <c r="U754">
        <v>8</v>
      </c>
      <c r="V754">
        <v>1717.48</v>
      </c>
    </row>
    <row r="755" spans="1:22" x14ac:dyDescent="0.25">
      <c r="A755" t="s">
        <v>2793</v>
      </c>
      <c r="B755" s="1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  <c r="O755" t="str">
        <f>IF(OR($N755&lt;EDA_Summary!$B$14,$N755&gt;EDA_Summary!$B$15), "Outlier", "Normal")</f>
        <v>Normal</v>
      </c>
      <c r="S755">
        <v>2</v>
      </c>
      <c r="T755">
        <v>241.49</v>
      </c>
      <c r="U755">
        <v>7</v>
      </c>
      <c r="V755">
        <v>482.98</v>
      </c>
    </row>
    <row r="756" spans="1:22" x14ac:dyDescent="0.25">
      <c r="A756" t="s">
        <v>2797</v>
      </c>
      <c r="B756" s="1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  <c r="O756" t="str">
        <f>IF(OR($N756&lt;EDA_Summary!$B$14,$N756&gt;EDA_Summary!$B$15), "Outlier", "Normal")</f>
        <v>Normal</v>
      </c>
      <c r="S756">
        <v>2</v>
      </c>
      <c r="T756">
        <v>452.05</v>
      </c>
      <c r="U756">
        <v>3</v>
      </c>
      <c r="V756">
        <v>904.1</v>
      </c>
    </row>
    <row r="757" spans="1:22" x14ac:dyDescent="0.25">
      <c r="A757" t="s">
        <v>2801</v>
      </c>
      <c r="B757" s="1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  <c r="O757" t="str">
        <f>IF(OR($N757&lt;EDA_Summary!$B$14,$N757&gt;EDA_Summary!$B$15), "Outlier", "Normal")</f>
        <v>Normal</v>
      </c>
      <c r="S757">
        <v>3</v>
      </c>
      <c r="T757">
        <v>336.71</v>
      </c>
      <c r="U757">
        <v>4</v>
      </c>
      <c r="V757">
        <v>1010.13</v>
      </c>
    </row>
    <row r="758" spans="1:22" x14ac:dyDescent="0.25">
      <c r="A758" t="s">
        <v>2805</v>
      </c>
      <c r="B758" s="1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  <c r="O758" t="str">
        <f>IF(OR($N758&lt;EDA_Summary!$B$14,$N758&gt;EDA_Summary!$B$15), "Outlier", "Normal")</f>
        <v>Normal</v>
      </c>
      <c r="S758">
        <v>1</v>
      </c>
      <c r="T758">
        <v>283.69</v>
      </c>
      <c r="U758">
        <v>6</v>
      </c>
      <c r="V758">
        <v>283.69</v>
      </c>
    </row>
    <row r="759" spans="1:22" x14ac:dyDescent="0.25">
      <c r="A759" t="s">
        <v>2808</v>
      </c>
      <c r="B759" s="1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  <c r="O759" t="str">
        <f>IF(OR($N759&lt;EDA_Summary!$B$14,$N759&gt;EDA_Summary!$B$15), "Outlier", "Normal")</f>
        <v>Normal</v>
      </c>
      <c r="S759">
        <v>1</v>
      </c>
      <c r="T759">
        <v>157.72</v>
      </c>
      <c r="U759">
        <v>2</v>
      </c>
      <c r="V759">
        <v>157.72</v>
      </c>
    </row>
    <row r="760" spans="1:22" x14ac:dyDescent="0.25">
      <c r="A760" t="s">
        <v>2811</v>
      </c>
      <c r="B760" s="1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  <c r="O760" t="str">
        <f>IF(OR($N760&lt;EDA_Summary!$B$14,$N760&gt;EDA_Summary!$B$15), "Outlier", "Normal")</f>
        <v>Normal</v>
      </c>
      <c r="S760">
        <v>3</v>
      </c>
      <c r="T760">
        <v>624.84</v>
      </c>
      <c r="U760">
        <v>8</v>
      </c>
      <c r="V760">
        <v>1874.52</v>
      </c>
    </row>
    <row r="761" spans="1:22" x14ac:dyDescent="0.25">
      <c r="A761" t="s">
        <v>2814</v>
      </c>
      <c r="B761" s="1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  <c r="O761" t="str">
        <f>IF(OR($N761&lt;EDA_Summary!$B$14,$N761&gt;EDA_Summary!$B$15), "Outlier", "Normal")</f>
        <v>Normal</v>
      </c>
      <c r="S761">
        <v>3</v>
      </c>
      <c r="T761">
        <v>308.01</v>
      </c>
      <c r="U761">
        <v>3</v>
      </c>
      <c r="V761">
        <v>924.03</v>
      </c>
    </row>
    <row r="762" spans="1:22" x14ac:dyDescent="0.25">
      <c r="A762" t="s">
        <v>2818</v>
      </c>
      <c r="B762" s="1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  <c r="O762" t="str">
        <f>IF(OR($N762&lt;EDA_Summary!$B$14,$N762&gt;EDA_Summary!$B$15), "Outlier", "Normal")</f>
        <v>Normal</v>
      </c>
      <c r="S762">
        <v>1</v>
      </c>
      <c r="T762">
        <v>39.56</v>
      </c>
      <c r="U762">
        <v>5</v>
      </c>
      <c r="V762">
        <v>39.56</v>
      </c>
    </row>
    <row r="763" spans="1:22" x14ac:dyDescent="0.25">
      <c r="A763" t="s">
        <v>2821</v>
      </c>
      <c r="B763" s="1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  <c r="O763" t="str">
        <f>IF(OR($N763&lt;EDA_Summary!$B$14,$N763&gt;EDA_Summary!$B$15), "Outlier", "Normal")</f>
        <v>Normal</v>
      </c>
      <c r="S763">
        <v>4</v>
      </c>
      <c r="T763">
        <v>37.76</v>
      </c>
      <c r="U763">
        <v>7</v>
      </c>
      <c r="V763">
        <v>151.04</v>
      </c>
    </row>
    <row r="764" spans="1:22" x14ac:dyDescent="0.25">
      <c r="A764" t="s">
        <v>2825</v>
      </c>
      <c r="B764" s="1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  <c r="O764" t="str">
        <f>IF(OR($N764&lt;EDA_Summary!$B$14,$N764&gt;EDA_Summary!$B$15), "Outlier", "Normal")</f>
        <v>Normal</v>
      </c>
      <c r="S764">
        <v>3</v>
      </c>
      <c r="T764">
        <v>76.959999999999994</v>
      </c>
      <c r="U764">
        <v>8</v>
      </c>
      <c r="V764">
        <v>230.88</v>
      </c>
    </row>
    <row r="765" spans="1:22" x14ac:dyDescent="0.25">
      <c r="A765" t="s">
        <v>2828</v>
      </c>
      <c r="B765" s="1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  <c r="O765" t="str">
        <f>IF(OR($N765&lt;EDA_Summary!$B$14,$N765&gt;EDA_Summary!$B$15), "Outlier", "Normal")</f>
        <v>Normal</v>
      </c>
      <c r="S765">
        <v>1</v>
      </c>
      <c r="T765">
        <v>569.96</v>
      </c>
      <c r="U765">
        <v>4</v>
      </c>
      <c r="V765">
        <v>569.96</v>
      </c>
    </row>
    <row r="766" spans="1:22" x14ac:dyDescent="0.25">
      <c r="A766" t="s">
        <v>2831</v>
      </c>
      <c r="B766" s="1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  <c r="O766" t="str">
        <f>IF(OR($N766&lt;EDA_Summary!$B$14,$N766&gt;EDA_Summary!$B$15), "Outlier", "Normal")</f>
        <v>Normal</v>
      </c>
      <c r="S766">
        <v>5</v>
      </c>
      <c r="T766">
        <v>627.42999999999995</v>
      </c>
      <c r="U766">
        <v>10</v>
      </c>
      <c r="V766">
        <v>3137.15</v>
      </c>
    </row>
    <row r="767" spans="1:22" x14ac:dyDescent="0.25">
      <c r="A767" t="s">
        <v>2834</v>
      </c>
      <c r="B767" s="1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  <c r="O767" t="str">
        <f>IF(OR($N767&lt;EDA_Summary!$B$14,$N767&gt;EDA_Summary!$B$15), "Outlier", "Normal")</f>
        <v>Normal</v>
      </c>
      <c r="S767">
        <v>2</v>
      </c>
      <c r="T767">
        <v>534.91</v>
      </c>
      <c r="U767">
        <v>5</v>
      </c>
      <c r="V767">
        <v>1069.82</v>
      </c>
    </row>
    <row r="768" spans="1:22" x14ac:dyDescent="0.25">
      <c r="A768" t="s">
        <v>2837</v>
      </c>
      <c r="B768" s="1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  <c r="O768" t="str">
        <f>IF(OR($N768&lt;EDA_Summary!$B$14,$N768&gt;EDA_Summary!$B$15), "Outlier", "Normal")</f>
        <v>Normal</v>
      </c>
      <c r="S768">
        <v>2</v>
      </c>
      <c r="T768">
        <v>278.88</v>
      </c>
      <c r="U768">
        <v>3</v>
      </c>
      <c r="V768">
        <v>557.76</v>
      </c>
    </row>
    <row r="769" spans="1:22" x14ac:dyDescent="0.25">
      <c r="A769" t="s">
        <v>2840</v>
      </c>
      <c r="B769" s="1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  <c r="O769" t="str">
        <f>IF(OR($N769&lt;EDA_Summary!$B$14,$N769&gt;EDA_Summary!$B$15), "Outlier", "Normal")</f>
        <v>Normal</v>
      </c>
      <c r="S769">
        <v>2</v>
      </c>
      <c r="T769">
        <v>323.22000000000003</v>
      </c>
      <c r="U769">
        <v>7</v>
      </c>
      <c r="V769">
        <v>646.44000000000005</v>
      </c>
    </row>
    <row r="770" spans="1:22" x14ac:dyDescent="0.25">
      <c r="A770" t="s">
        <v>2844</v>
      </c>
      <c r="B770" s="1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  <c r="O770" t="str">
        <f>IF(OR($N770&lt;EDA_Summary!$B$14,$N770&gt;EDA_Summary!$B$15), "Outlier", "Normal")</f>
        <v>Normal</v>
      </c>
      <c r="S770">
        <v>5</v>
      </c>
      <c r="T770">
        <v>653.46</v>
      </c>
      <c r="U770">
        <v>9</v>
      </c>
      <c r="V770">
        <v>3267.3</v>
      </c>
    </row>
    <row r="771" spans="1:22" x14ac:dyDescent="0.25">
      <c r="A771" t="s">
        <v>2848</v>
      </c>
      <c r="B771" s="1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  <c r="O771" t="str">
        <f>IF(OR($N771&lt;EDA_Summary!$B$14,$N771&gt;EDA_Summary!$B$15), "Outlier", "Normal")</f>
        <v>Normal</v>
      </c>
      <c r="S771">
        <v>4</v>
      </c>
      <c r="T771">
        <v>678.55</v>
      </c>
      <c r="U771">
        <v>5</v>
      </c>
      <c r="V771">
        <v>2714.2</v>
      </c>
    </row>
    <row r="772" spans="1:22" x14ac:dyDescent="0.25">
      <c r="A772" t="s">
        <v>2851</v>
      </c>
      <c r="B772" s="1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  <c r="O772" t="str">
        <f>IF(OR($N772&lt;EDA_Summary!$B$14,$N772&gt;EDA_Summary!$B$15), "Outlier", "Normal")</f>
        <v>Normal</v>
      </c>
      <c r="S772">
        <v>1</v>
      </c>
      <c r="T772">
        <v>314.38</v>
      </c>
      <c r="U772">
        <v>6</v>
      </c>
      <c r="V772">
        <v>314.38</v>
      </c>
    </row>
    <row r="773" spans="1:22" x14ac:dyDescent="0.25">
      <c r="A773" t="s">
        <v>2854</v>
      </c>
      <c r="B773" s="1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  <c r="O773" t="str">
        <f>IF(OR($N773&lt;EDA_Summary!$B$14,$N773&gt;EDA_Summary!$B$15), "Outlier", "Normal")</f>
        <v>Normal</v>
      </c>
      <c r="S773">
        <v>3</v>
      </c>
      <c r="T773">
        <v>692.44</v>
      </c>
      <c r="U773">
        <v>8</v>
      </c>
      <c r="V773">
        <v>2077.3200000000002</v>
      </c>
    </row>
    <row r="774" spans="1:22" x14ac:dyDescent="0.25">
      <c r="A774" t="s">
        <v>2857</v>
      </c>
      <c r="B774" s="1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  <c r="O774" t="str">
        <f>IF(OR($N774&lt;EDA_Summary!$B$14,$N774&gt;EDA_Summary!$B$15), "Outlier", "Normal")</f>
        <v>Normal</v>
      </c>
      <c r="S774">
        <v>1</v>
      </c>
      <c r="T774">
        <v>604.87</v>
      </c>
      <c r="U774">
        <v>4</v>
      </c>
      <c r="V774">
        <v>604.87</v>
      </c>
    </row>
    <row r="775" spans="1:22" x14ac:dyDescent="0.25">
      <c r="A775" t="s">
        <v>2861</v>
      </c>
      <c r="B775" s="1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  <c r="O775" t="str">
        <f>IF(OR($N775&lt;EDA_Summary!$B$14,$N775&gt;EDA_Summary!$B$15), "Outlier", "Normal")</f>
        <v>Normal</v>
      </c>
      <c r="S775">
        <v>2</v>
      </c>
      <c r="T775">
        <v>512.33000000000004</v>
      </c>
      <c r="U775">
        <v>7</v>
      </c>
      <c r="V775">
        <v>1024.6600000000001</v>
      </c>
    </row>
    <row r="776" spans="1:22" x14ac:dyDescent="0.25">
      <c r="A776" t="s">
        <v>2865</v>
      </c>
      <c r="B776" s="1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  <c r="O776" t="str">
        <f>IF(OR($N776&lt;EDA_Summary!$B$14,$N776&gt;EDA_Summary!$B$15), "Outlier", "Normal")</f>
        <v>Normal</v>
      </c>
      <c r="S776">
        <v>3</v>
      </c>
      <c r="T776">
        <v>20.54</v>
      </c>
      <c r="U776">
        <v>3</v>
      </c>
      <c r="V776">
        <v>61.62</v>
      </c>
    </row>
    <row r="777" spans="1:22" x14ac:dyDescent="0.25">
      <c r="A777" t="s">
        <v>2869</v>
      </c>
      <c r="B777" s="1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  <c r="O777" t="str">
        <f>IF(OR($N777&lt;EDA_Summary!$B$14,$N777&gt;EDA_Summary!$B$15), "Outlier", "Normal")</f>
        <v>Normal</v>
      </c>
      <c r="S777">
        <v>2</v>
      </c>
      <c r="T777">
        <v>625.22</v>
      </c>
      <c r="U777">
        <v>5</v>
      </c>
      <c r="V777">
        <v>1250.44</v>
      </c>
    </row>
    <row r="778" spans="1:22" x14ac:dyDescent="0.25">
      <c r="A778" t="s">
        <v>2872</v>
      </c>
      <c r="B778" s="1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  <c r="O778" t="str">
        <f>IF(OR($N778&lt;EDA_Summary!$B$14,$N778&gt;EDA_Summary!$B$15), "Outlier", "Normal")</f>
        <v>Normal</v>
      </c>
      <c r="S778">
        <v>1</v>
      </c>
      <c r="T778">
        <v>21.19</v>
      </c>
      <c r="U778">
        <v>5</v>
      </c>
      <c r="V778">
        <v>21.19</v>
      </c>
    </row>
    <row r="779" spans="1:22" x14ac:dyDescent="0.25">
      <c r="A779" t="s">
        <v>2876</v>
      </c>
      <c r="B779" s="1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  <c r="O779" t="str">
        <f>IF(OR($N779&lt;EDA_Summary!$B$14,$N779&gt;EDA_Summary!$B$15), "Outlier", "Normal")</f>
        <v>Normal</v>
      </c>
      <c r="S779">
        <v>5</v>
      </c>
      <c r="T779">
        <v>64.489999999999995</v>
      </c>
      <c r="U779">
        <v>7</v>
      </c>
      <c r="V779">
        <v>322.45</v>
      </c>
    </row>
    <row r="780" spans="1:22" x14ac:dyDescent="0.25">
      <c r="A780" t="s">
        <v>2879</v>
      </c>
      <c r="B780" s="1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  <c r="O780" t="str">
        <f>IF(OR($N780&lt;EDA_Summary!$B$14,$N780&gt;EDA_Summary!$B$15), "Outlier", "Normal")</f>
        <v>Normal</v>
      </c>
      <c r="S780">
        <v>4</v>
      </c>
      <c r="T780">
        <v>246.85</v>
      </c>
      <c r="U780">
        <v>8</v>
      </c>
      <c r="V780">
        <v>987.4</v>
      </c>
    </row>
    <row r="781" spans="1:22" x14ac:dyDescent="0.25">
      <c r="A781" t="s">
        <v>2883</v>
      </c>
      <c r="B781" s="1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  <c r="O781" t="str">
        <f>IF(OR($N781&lt;EDA_Summary!$B$14,$N781&gt;EDA_Summary!$B$15), "Outlier", "Normal")</f>
        <v>Normal</v>
      </c>
      <c r="S781">
        <v>3</v>
      </c>
      <c r="T781">
        <v>588.74</v>
      </c>
      <c r="U781">
        <v>8</v>
      </c>
      <c r="V781">
        <v>1766.22</v>
      </c>
    </row>
    <row r="782" spans="1:22" x14ac:dyDescent="0.25">
      <c r="A782" t="s">
        <v>2887</v>
      </c>
      <c r="B782" s="1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  <c r="O782" t="str">
        <f>IF(OR($N782&lt;EDA_Summary!$B$14,$N782&gt;EDA_Summary!$B$15), "Outlier", "Normal")</f>
        <v>Normal</v>
      </c>
      <c r="S782">
        <v>4</v>
      </c>
      <c r="T782">
        <v>184.48</v>
      </c>
      <c r="U782">
        <v>4</v>
      </c>
      <c r="V782">
        <v>737.92</v>
      </c>
    </row>
    <row r="783" spans="1:22" x14ac:dyDescent="0.25">
      <c r="A783" t="s">
        <v>2890</v>
      </c>
      <c r="B783" s="1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  <c r="O783" t="str">
        <f>IF(OR($N783&lt;EDA_Summary!$B$14,$N783&gt;EDA_Summary!$B$15), "Outlier", "Normal")</f>
        <v>Normal</v>
      </c>
      <c r="S783">
        <v>5</v>
      </c>
      <c r="T783">
        <v>524.26</v>
      </c>
      <c r="U783">
        <v>5</v>
      </c>
      <c r="V783">
        <v>2621.3000000000002</v>
      </c>
    </row>
    <row r="784" spans="1:22" x14ac:dyDescent="0.25">
      <c r="A784" t="s">
        <v>2893</v>
      </c>
      <c r="B784" s="1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  <c r="O784" t="str">
        <f>IF(OR($N784&lt;EDA_Summary!$B$14,$N784&gt;EDA_Summary!$B$15), "Outlier", "Normal")</f>
        <v>Normal</v>
      </c>
      <c r="S784">
        <v>2</v>
      </c>
      <c r="T784">
        <v>493.63</v>
      </c>
      <c r="U784">
        <v>6</v>
      </c>
      <c r="V784">
        <v>987.26</v>
      </c>
    </row>
    <row r="785" spans="1:22" x14ac:dyDescent="0.25">
      <c r="A785" t="s">
        <v>2896</v>
      </c>
      <c r="B785" s="1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  <c r="O785" t="str">
        <f>IF(OR($N785&lt;EDA_Summary!$B$14,$N785&gt;EDA_Summary!$B$15), "Outlier", "Normal")</f>
        <v>Normal</v>
      </c>
      <c r="S785">
        <v>1</v>
      </c>
      <c r="T785">
        <v>438.34</v>
      </c>
      <c r="U785">
        <v>5</v>
      </c>
      <c r="V785">
        <v>438.34</v>
      </c>
    </row>
    <row r="786" spans="1:22" x14ac:dyDescent="0.25">
      <c r="A786" t="s">
        <v>2899</v>
      </c>
      <c r="B786" s="1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  <c r="O786" t="str">
        <f>IF(OR($N786&lt;EDA_Summary!$B$14,$N786&gt;EDA_Summary!$B$15), "Outlier", "Normal")</f>
        <v>Normal</v>
      </c>
      <c r="S786">
        <v>1</v>
      </c>
      <c r="T786">
        <v>325.81</v>
      </c>
      <c r="U786">
        <v>1</v>
      </c>
      <c r="V786">
        <v>325.81</v>
      </c>
    </row>
    <row r="787" spans="1:22" x14ac:dyDescent="0.25">
      <c r="A787" t="s">
        <v>2902</v>
      </c>
      <c r="B787" s="1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  <c r="O787" t="str">
        <f>IF(OR($N787&lt;EDA_Summary!$B$14,$N787&gt;EDA_Summary!$B$15), "Outlier", "Normal")</f>
        <v>Normal</v>
      </c>
      <c r="S787">
        <v>1</v>
      </c>
      <c r="T787">
        <v>176.1</v>
      </c>
      <c r="U787">
        <v>1</v>
      </c>
      <c r="V787">
        <v>176.1</v>
      </c>
    </row>
    <row r="788" spans="1:22" x14ac:dyDescent="0.25">
      <c r="A788" t="s">
        <v>2906</v>
      </c>
      <c r="B788" s="1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  <c r="O788" t="str">
        <f>IF(OR($N788&lt;EDA_Summary!$B$14,$N788&gt;EDA_Summary!$B$15), "Outlier", "Normal")</f>
        <v>Normal</v>
      </c>
      <c r="S788">
        <v>5</v>
      </c>
      <c r="T788">
        <v>45.31</v>
      </c>
      <c r="U788">
        <v>8</v>
      </c>
      <c r="V788">
        <v>226.55</v>
      </c>
    </row>
    <row r="789" spans="1:22" x14ac:dyDescent="0.25">
      <c r="A789" t="s">
        <v>2910</v>
      </c>
      <c r="B789" s="1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  <c r="O789" t="str">
        <f>IF(OR($N789&lt;EDA_Summary!$B$14,$N789&gt;EDA_Summary!$B$15), "Outlier", "Normal")</f>
        <v>Normal</v>
      </c>
      <c r="S789">
        <v>4</v>
      </c>
      <c r="T789">
        <v>221.96</v>
      </c>
      <c r="U789">
        <v>7</v>
      </c>
      <c r="V789">
        <v>887.84</v>
      </c>
    </row>
    <row r="790" spans="1:22" x14ac:dyDescent="0.25">
      <c r="A790" t="s">
        <v>2914</v>
      </c>
      <c r="B790" s="1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  <c r="O790" t="str">
        <f>IF(OR($N790&lt;EDA_Summary!$B$14,$N790&gt;EDA_Summary!$B$15), "Outlier", "Normal")</f>
        <v>Normal</v>
      </c>
      <c r="S790">
        <v>2</v>
      </c>
      <c r="T790">
        <v>601.42999999999995</v>
      </c>
      <c r="U790">
        <v>5</v>
      </c>
      <c r="V790">
        <v>1202.8599999999999</v>
      </c>
    </row>
    <row r="791" spans="1:22" x14ac:dyDescent="0.25">
      <c r="A791" t="s">
        <v>2918</v>
      </c>
      <c r="B791" s="1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  <c r="O791" t="str">
        <f>IF(OR($N791&lt;EDA_Summary!$B$14,$N791&gt;EDA_Summary!$B$15), "Outlier", "Normal")</f>
        <v>Outlier</v>
      </c>
      <c r="S791">
        <v>5</v>
      </c>
      <c r="T791">
        <v>691.28</v>
      </c>
      <c r="U791">
        <v>10</v>
      </c>
      <c r="V791">
        <v>3456.4</v>
      </c>
    </row>
    <row r="792" spans="1:22" x14ac:dyDescent="0.25">
      <c r="A792" t="s">
        <v>2922</v>
      </c>
      <c r="B792" s="1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  <c r="O792" t="str">
        <f>IF(OR($N792&lt;EDA_Summary!$B$14,$N792&gt;EDA_Summary!$B$15), "Outlier", "Normal")</f>
        <v>Normal</v>
      </c>
      <c r="S792">
        <v>4</v>
      </c>
      <c r="T792">
        <v>417.89</v>
      </c>
      <c r="U792">
        <v>4</v>
      </c>
      <c r="V792">
        <v>1671.56</v>
      </c>
    </row>
    <row r="793" spans="1:22" x14ac:dyDescent="0.25">
      <c r="A793" t="s">
        <v>2926</v>
      </c>
      <c r="B793" s="1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  <c r="O793" t="str">
        <f>IF(OR($N793&lt;EDA_Summary!$B$14,$N793&gt;EDA_Summary!$B$15), "Outlier", "Normal")</f>
        <v>Normal</v>
      </c>
      <c r="S793">
        <v>4</v>
      </c>
      <c r="T793">
        <v>409.28</v>
      </c>
      <c r="U793">
        <v>8</v>
      </c>
      <c r="V793">
        <v>1637.12</v>
      </c>
    </row>
    <row r="794" spans="1:22" x14ac:dyDescent="0.25">
      <c r="A794" t="s">
        <v>2929</v>
      </c>
      <c r="B794" s="1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  <c r="O794" t="str">
        <f>IF(OR($N794&lt;EDA_Summary!$B$14,$N794&gt;EDA_Summary!$B$15), "Outlier", "Normal")</f>
        <v>Normal</v>
      </c>
      <c r="S794">
        <v>2</v>
      </c>
      <c r="T794">
        <v>356.35</v>
      </c>
      <c r="U794">
        <v>6</v>
      </c>
      <c r="V794">
        <v>712.7</v>
      </c>
    </row>
    <row r="795" spans="1:22" x14ac:dyDescent="0.25">
      <c r="A795" t="s">
        <v>2933</v>
      </c>
      <c r="B795" s="1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  <c r="O795" t="str">
        <f>IF(OR($N795&lt;EDA_Summary!$B$14,$N795&gt;EDA_Summary!$B$15), "Outlier", "Normal")</f>
        <v>Normal</v>
      </c>
      <c r="S795">
        <v>5</v>
      </c>
      <c r="T795">
        <v>170.22</v>
      </c>
      <c r="U795">
        <v>8</v>
      </c>
      <c r="V795">
        <v>851.1</v>
      </c>
    </row>
    <row r="796" spans="1:22" x14ac:dyDescent="0.25">
      <c r="A796" t="s">
        <v>2936</v>
      </c>
      <c r="B796" s="1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  <c r="O796" t="str">
        <f>IF(OR($N796&lt;EDA_Summary!$B$14,$N796&gt;EDA_Summary!$B$15), "Outlier", "Normal")</f>
        <v>Normal</v>
      </c>
      <c r="S796">
        <v>4</v>
      </c>
      <c r="T796">
        <v>384.85</v>
      </c>
      <c r="U796">
        <v>9</v>
      </c>
      <c r="V796">
        <v>1539.4</v>
      </c>
    </row>
    <row r="797" spans="1:22" x14ac:dyDescent="0.25">
      <c r="A797" t="s">
        <v>2940</v>
      </c>
      <c r="B797" s="1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  <c r="O797" t="str">
        <f>IF(OR($N797&lt;EDA_Summary!$B$14,$N797&gt;EDA_Summary!$B$15), "Outlier", "Normal")</f>
        <v>Normal</v>
      </c>
      <c r="S797">
        <v>4</v>
      </c>
      <c r="T797">
        <v>115.77</v>
      </c>
      <c r="U797">
        <v>7</v>
      </c>
      <c r="V797">
        <v>463.08</v>
      </c>
    </row>
    <row r="798" spans="1:22" x14ac:dyDescent="0.25">
      <c r="A798" t="s">
        <v>2944</v>
      </c>
      <c r="B798" s="1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  <c r="O798" t="str">
        <f>IF(OR($N798&lt;EDA_Summary!$B$14,$N798&gt;EDA_Summary!$B$15), "Outlier", "Normal")</f>
        <v>Normal</v>
      </c>
      <c r="S798">
        <v>3</v>
      </c>
      <c r="T798">
        <v>579.54999999999995</v>
      </c>
      <c r="U798">
        <v>8</v>
      </c>
      <c r="V798">
        <v>1738.65</v>
      </c>
    </row>
    <row r="799" spans="1:22" x14ac:dyDescent="0.25">
      <c r="A799" t="s">
        <v>2947</v>
      </c>
      <c r="B799" s="1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  <c r="O799" t="str">
        <f>IF(OR($N799&lt;EDA_Summary!$B$14,$N799&gt;EDA_Summary!$B$15), "Outlier", "Normal")</f>
        <v>Normal</v>
      </c>
      <c r="S799">
        <v>2</v>
      </c>
      <c r="T799">
        <v>438.76</v>
      </c>
      <c r="U799">
        <v>2</v>
      </c>
      <c r="V799">
        <v>877.52</v>
      </c>
    </row>
    <row r="800" spans="1:22" x14ac:dyDescent="0.25">
      <c r="A800" t="s">
        <v>2951</v>
      </c>
      <c r="B800" s="1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  <c r="O800" t="str">
        <f>IF(OR($N800&lt;EDA_Summary!$B$14,$N800&gt;EDA_Summary!$B$15), "Outlier", "Normal")</f>
        <v>Normal</v>
      </c>
      <c r="S800">
        <v>5</v>
      </c>
      <c r="T800">
        <v>488.35</v>
      </c>
      <c r="U800">
        <v>9</v>
      </c>
      <c r="V800">
        <v>2441.75</v>
      </c>
    </row>
    <row r="801" spans="1:22" x14ac:dyDescent="0.25">
      <c r="A801" t="s">
        <v>2954</v>
      </c>
      <c r="B801" s="1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  <c r="O801" t="str">
        <f>IF(OR($N801&lt;EDA_Summary!$B$14,$N801&gt;EDA_Summary!$B$15), "Outlier", "Normal")</f>
        <v>Normal</v>
      </c>
      <c r="S801">
        <v>4</v>
      </c>
      <c r="T801">
        <v>328.56</v>
      </c>
      <c r="U801">
        <v>4</v>
      </c>
      <c r="V801">
        <v>1314.24</v>
      </c>
    </row>
    <row r="802" spans="1:22" x14ac:dyDescent="0.25">
      <c r="A802" t="s">
        <v>2957</v>
      </c>
      <c r="B802" s="1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  <c r="O802" t="str">
        <f>IF(OR($N802&lt;EDA_Summary!$B$14,$N802&gt;EDA_Summary!$B$15), "Outlier", "Normal")</f>
        <v>Normal</v>
      </c>
      <c r="S802">
        <v>1</v>
      </c>
      <c r="T802">
        <v>68.39</v>
      </c>
      <c r="U802">
        <v>3</v>
      </c>
      <c r="V802">
        <v>68.39</v>
      </c>
    </row>
    <row r="803" spans="1:22" x14ac:dyDescent="0.25">
      <c r="A803" t="s">
        <v>2961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  <c r="O803" t="str">
        <f>IF(OR($N803&lt;EDA_Summary!$B$14,$N803&gt;EDA_Summary!$B$15), "Outlier", "Normal")</f>
        <v>Normal</v>
      </c>
      <c r="S803">
        <v>4</v>
      </c>
      <c r="T803">
        <v>595.62</v>
      </c>
      <c r="U803">
        <v>8</v>
      </c>
      <c r="V803">
        <v>2382.48</v>
      </c>
    </row>
    <row r="804" spans="1:22" x14ac:dyDescent="0.25">
      <c r="A804" t="s">
        <v>2964</v>
      </c>
      <c r="B804" s="1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  <c r="O804" t="str">
        <f>IF(OR($N804&lt;EDA_Summary!$B$14,$N804&gt;EDA_Summary!$B$15), "Outlier", "Normal")</f>
        <v>Normal</v>
      </c>
      <c r="S804">
        <v>5</v>
      </c>
      <c r="T804">
        <v>644.64</v>
      </c>
      <c r="U804">
        <v>6</v>
      </c>
      <c r="V804">
        <v>3223.2</v>
      </c>
    </row>
    <row r="805" spans="1:22" x14ac:dyDescent="0.25">
      <c r="A805" t="s">
        <v>2968</v>
      </c>
      <c r="B805" s="1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  <c r="O805" t="str">
        <f>IF(OR($N805&lt;EDA_Summary!$B$14,$N805&gt;EDA_Summary!$B$15), "Outlier", "Normal")</f>
        <v>Normal</v>
      </c>
      <c r="S805">
        <v>5</v>
      </c>
      <c r="T805">
        <v>397.81</v>
      </c>
      <c r="U805">
        <v>5</v>
      </c>
      <c r="V805">
        <v>1989.05</v>
      </c>
    </row>
    <row r="806" spans="1:22" x14ac:dyDescent="0.25">
      <c r="A806" t="s">
        <v>2971</v>
      </c>
      <c r="B806" s="1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  <c r="O806" t="str">
        <f>IF(OR($N806&lt;EDA_Summary!$B$14,$N806&gt;EDA_Summary!$B$15), "Outlier", "Normal")</f>
        <v>Normal</v>
      </c>
      <c r="S806">
        <v>3</v>
      </c>
      <c r="T806">
        <v>236.5</v>
      </c>
      <c r="U806">
        <v>8</v>
      </c>
      <c r="V806">
        <v>709.5</v>
      </c>
    </row>
    <row r="807" spans="1:22" x14ac:dyDescent="0.25">
      <c r="A807" t="s">
        <v>2975</v>
      </c>
      <c r="B807" s="1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  <c r="O807" t="str">
        <f>IF(OR($N807&lt;EDA_Summary!$B$14,$N807&gt;EDA_Summary!$B$15), "Outlier", "Normal")</f>
        <v>Normal</v>
      </c>
      <c r="S807">
        <v>5</v>
      </c>
      <c r="T807">
        <v>472.01</v>
      </c>
      <c r="U807">
        <v>10</v>
      </c>
      <c r="V807">
        <v>2360.0500000000002</v>
      </c>
    </row>
    <row r="808" spans="1:22" x14ac:dyDescent="0.25">
      <c r="A808" t="s">
        <v>2979</v>
      </c>
      <c r="B808" s="1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  <c r="O808" t="str">
        <f>IF(OR($N808&lt;EDA_Summary!$B$14,$N808&gt;EDA_Summary!$B$15), "Outlier", "Normal")</f>
        <v>Normal</v>
      </c>
      <c r="S808">
        <v>5</v>
      </c>
      <c r="T808">
        <v>253.75</v>
      </c>
      <c r="U808">
        <v>9</v>
      </c>
      <c r="V808">
        <v>1268.75</v>
      </c>
    </row>
    <row r="809" spans="1:22" x14ac:dyDescent="0.25">
      <c r="A809" t="s">
        <v>2982</v>
      </c>
      <c r="B809" s="1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  <c r="O809" t="str">
        <f>IF(OR($N809&lt;EDA_Summary!$B$14,$N809&gt;EDA_Summary!$B$15), "Outlier", "Normal")</f>
        <v>Normal</v>
      </c>
      <c r="S809">
        <v>3</v>
      </c>
      <c r="T809">
        <v>676.21</v>
      </c>
      <c r="U809">
        <v>5</v>
      </c>
      <c r="V809">
        <v>2028.63</v>
      </c>
    </row>
    <row r="810" spans="1:22" x14ac:dyDescent="0.25">
      <c r="A810" t="s">
        <v>2986</v>
      </c>
      <c r="B810" s="1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  <c r="O810" t="str">
        <f>IF(OR($N810&lt;EDA_Summary!$B$14,$N810&gt;EDA_Summary!$B$15), "Outlier", "Normal")</f>
        <v>Normal</v>
      </c>
      <c r="S810">
        <v>3</v>
      </c>
      <c r="T810">
        <v>134.05000000000001</v>
      </c>
      <c r="U810">
        <v>3</v>
      </c>
      <c r="V810">
        <v>402.15</v>
      </c>
    </row>
    <row r="811" spans="1:22" x14ac:dyDescent="0.25">
      <c r="A811" t="s">
        <v>2990</v>
      </c>
      <c r="B811" s="1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  <c r="O811" t="str">
        <f>IF(OR($N811&lt;EDA_Summary!$B$14,$N811&gt;EDA_Summary!$B$15), "Outlier", "Normal")</f>
        <v>Normal</v>
      </c>
      <c r="S811">
        <v>5</v>
      </c>
      <c r="T811">
        <v>217.43</v>
      </c>
      <c r="U811">
        <v>10</v>
      </c>
      <c r="V811">
        <v>1087.1500000000001</v>
      </c>
    </row>
    <row r="812" spans="1:22" x14ac:dyDescent="0.25">
      <c r="A812" t="s">
        <v>2993</v>
      </c>
      <c r="B812" s="1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  <c r="O812" t="str">
        <f>IF(OR($N812&lt;EDA_Summary!$B$14,$N812&gt;EDA_Summary!$B$15), "Outlier", "Normal")</f>
        <v>Normal</v>
      </c>
      <c r="S812">
        <v>1</v>
      </c>
      <c r="T812">
        <v>553.55999999999995</v>
      </c>
      <c r="U812">
        <v>5</v>
      </c>
      <c r="V812">
        <v>553.55999999999995</v>
      </c>
    </row>
    <row r="813" spans="1:22" x14ac:dyDescent="0.25">
      <c r="A813" t="s">
        <v>2997</v>
      </c>
      <c r="B813" s="1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  <c r="O813" t="str">
        <f>IF(OR($N813&lt;EDA_Summary!$B$14,$N813&gt;EDA_Summary!$B$15), "Outlier", "Normal")</f>
        <v>Normal</v>
      </c>
      <c r="S813">
        <v>2</v>
      </c>
      <c r="T813">
        <v>28.55</v>
      </c>
      <c r="U813">
        <v>7</v>
      </c>
      <c r="V813">
        <v>57.1</v>
      </c>
    </row>
    <row r="814" spans="1:22" x14ac:dyDescent="0.25">
      <c r="A814" t="s">
        <v>3000</v>
      </c>
      <c r="B814" s="1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  <c r="O814" t="str">
        <f>IF(OR($N814&lt;EDA_Summary!$B$14,$N814&gt;EDA_Summary!$B$15), "Outlier", "Normal")</f>
        <v>Normal</v>
      </c>
      <c r="S814">
        <v>2</v>
      </c>
      <c r="T814">
        <v>255.26</v>
      </c>
      <c r="U814">
        <v>6</v>
      </c>
      <c r="V814">
        <v>510.52</v>
      </c>
    </row>
    <row r="815" spans="1:22" x14ac:dyDescent="0.25">
      <c r="A815" t="s">
        <v>3003</v>
      </c>
      <c r="B815" s="1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  <c r="O815" t="str">
        <f>IF(OR($N815&lt;EDA_Summary!$B$14,$N815&gt;EDA_Summary!$B$15), "Outlier", "Normal")</f>
        <v>Normal</v>
      </c>
      <c r="S815">
        <v>5</v>
      </c>
      <c r="T815">
        <v>292.54000000000002</v>
      </c>
      <c r="U815">
        <v>8</v>
      </c>
      <c r="V815">
        <v>1462.7</v>
      </c>
    </row>
    <row r="816" spans="1:22" x14ac:dyDescent="0.25">
      <c r="A816" t="s">
        <v>3006</v>
      </c>
      <c r="B816" s="1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  <c r="O816" t="str">
        <f>IF(OR($N816&lt;EDA_Summary!$B$14,$N816&gt;EDA_Summary!$B$15), "Outlier", "Normal")</f>
        <v>Normal</v>
      </c>
      <c r="S816">
        <v>4</v>
      </c>
      <c r="T816">
        <v>147.51</v>
      </c>
      <c r="U816">
        <v>4</v>
      </c>
      <c r="V816">
        <v>590.04</v>
      </c>
    </row>
    <row r="817" spans="1:22" x14ac:dyDescent="0.25">
      <c r="A817" t="s">
        <v>3010</v>
      </c>
      <c r="B817" s="1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  <c r="O817" t="str">
        <f>IF(OR($N817&lt;EDA_Summary!$B$14,$N817&gt;EDA_Summary!$B$15), "Outlier", "Normal")</f>
        <v>Normal</v>
      </c>
      <c r="S817">
        <v>3</v>
      </c>
      <c r="T817">
        <v>569.84</v>
      </c>
      <c r="U817">
        <v>8</v>
      </c>
      <c r="V817">
        <v>1709.52</v>
      </c>
    </row>
    <row r="818" spans="1:22" x14ac:dyDescent="0.25">
      <c r="A818" t="s">
        <v>3014</v>
      </c>
      <c r="B818" s="1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  <c r="O818" t="str">
        <f>IF(OR($N818&lt;EDA_Summary!$B$14,$N818&gt;EDA_Summary!$B$15), "Outlier", "Normal")</f>
        <v>Normal</v>
      </c>
      <c r="S818">
        <v>5</v>
      </c>
      <c r="T818">
        <v>574.79</v>
      </c>
      <c r="U818">
        <v>8</v>
      </c>
      <c r="V818">
        <v>2873.95</v>
      </c>
    </row>
    <row r="819" spans="1:22" x14ac:dyDescent="0.25">
      <c r="A819" t="s">
        <v>3017</v>
      </c>
      <c r="B819" s="1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  <c r="O819" t="str">
        <f>IF(OR($N819&lt;EDA_Summary!$B$14,$N819&gt;EDA_Summary!$B$15), "Outlier", "Normal")</f>
        <v>Normal</v>
      </c>
      <c r="S819">
        <v>4</v>
      </c>
      <c r="T819">
        <v>598.19000000000005</v>
      </c>
      <c r="U819">
        <v>7</v>
      </c>
      <c r="V819">
        <v>2392.7600000000002</v>
      </c>
    </row>
    <row r="820" spans="1:22" x14ac:dyDescent="0.25">
      <c r="A820" t="s">
        <v>3021</v>
      </c>
      <c r="B820" s="1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  <c r="O820" t="str">
        <f>IF(OR($N820&lt;EDA_Summary!$B$14,$N820&gt;EDA_Summary!$B$15), "Outlier", "Normal")</f>
        <v>Normal</v>
      </c>
      <c r="S820">
        <v>4</v>
      </c>
      <c r="T820">
        <v>390.84</v>
      </c>
      <c r="U820">
        <v>9</v>
      </c>
      <c r="V820">
        <v>1563.36</v>
      </c>
    </row>
    <row r="821" spans="1:22" x14ac:dyDescent="0.25">
      <c r="A821" t="s">
        <v>3024</v>
      </c>
      <c r="B821" s="1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  <c r="O821" t="str">
        <f>IF(OR($N821&lt;EDA_Summary!$B$14,$N821&gt;EDA_Summary!$B$15), "Outlier", "Normal")</f>
        <v>Normal</v>
      </c>
      <c r="S821">
        <v>2</v>
      </c>
      <c r="T821">
        <v>398.45</v>
      </c>
      <c r="U821">
        <v>7</v>
      </c>
      <c r="V821">
        <v>796.9</v>
      </c>
    </row>
    <row r="822" spans="1:22" x14ac:dyDescent="0.25">
      <c r="A822" t="s">
        <v>3028</v>
      </c>
      <c r="B822" s="1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  <c r="O822" t="str">
        <f>IF(OR($N822&lt;EDA_Summary!$B$14,$N822&gt;EDA_Summary!$B$15), "Outlier", "Normal")</f>
        <v>Normal</v>
      </c>
      <c r="S822">
        <v>5</v>
      </c>
      <c r="T822">
        <v>623.80999999999995</v>
      </c>
      <c r="U822">
        <v>6</v>
      </c>
      <c r="V822">
        <v>3119.05</v>
      </c>
    </row>
    <row r="823" spans="1:22" x14ac:dyDescent="0.25">
      <c r="A823" t="s">
        <v>3031</v>
      </c>
      <c r="B823" s="1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  <c r="O823" t="str">
        <f>IF(OR($N823&lt;EDA_Summary!$B$14,$N823&gt;EDA_Summary!$B$15), "Outlier", "Normal")</f>
        <v>Normal</v>
      </c>
      <c r="S823">
        <v>4</v>
      </c>
      <c r="T823">
        <v>174.49</v>
      </c>
      <c r="U823">
        <v>5</v>
      </c>
      <c r="V823">
        <v>697.96</v>
      </c>
    </row>
    <row r="824" spans="1:22" x14ac:dyDescent="0.25">
      <c r="A824" t="s">
        <v>3034</v>
      </c>
      <c r="B824" s="1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  <c r="O824" t="str">
        <f>IF(OR($N824&lt;EDA_Summary!$B$14,$N824&gt;EDA_Summary!$B$15), "Outlier", "Normal")</f>
        <v>Normal</v>
      </c>
      <c r="S824">
        <v>1</v>
      </c>
      <c r="T824">
        <v>479.56</v>
      </c>
      <c r="U824">
        <v>1</v>
      </c>
      <c r="V824">
        <v>479.56</v>
      </c>
    </row>
    <row r="825" spans="1:22" x14ac:dyDescent="0.25">
      <c r="A825" t="s">
        <v>3037</v>
      </c>
      <c r="B825" s="1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  <c r="O825" t="str">
        <f>IF(OR($N825&lt;EDA_Summary!$B$14,$N825&gt;EDA_Summary!$B$15), "Outlier", "Normal")</f>
        <v>Normal</v>
      </c>
      <c r="S825">
        <v>4</v>
      </c>
      <c r="T825">
        <v>653.13</v>
      </c>
      <c r="U825">
        <v>8</v>
      </c>
      <c r="V825">
        <v>2612.52</v>
      </c>
    </row>
    <row r="826" spans="1:22" x14ac:dyDescent="0.25">
      <c r="A826" t="s">
        <v>3041</v>
      </c>
      <c r="B826" s="1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  <c r="O826" t="str">
        <f>IF(OR($N826&lt;EDA_Summary!$B$14,$N826&gt;EDA_Summary!$B$15), "Outlier", "Normal")</f>
        <v>Normal</v>
      </c>
      <c r="S826">
        <v>3</v>
      </c>
      <c r="T826">
        <v>481.1</v>
      </c>
      <c r="U826">
        <v>3</v>
      </c>
      <c r="V826">
        <v>1443.3</v>
      </c>
    </row>
    <row r="827" spans="1:22" x14ac:dyDescent="0.25">
      <c r="A827" t="s">
        <v>3045</v>
      </c>
      <c r="B827" s="1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  <c r="O827" t="str">
        <f>IF(OR($N827&lt;EDA_Summary!$B$14,$N827&gt;EDA_Summary!$B$15), "Outlier", "Normal")</f>
        <v>Normal</v>
      </c>
      <c r="S827">
        <v>5</v>
      </c>
      <c r="T827">
        <v>271.69</v>
      </c>
      <c r="U827">
        <v>7</v>
      </c>
      <c r="V827">
        <v>1358.45</v>
      </c>
    </row>
    <row r="828" spans="1:22" x14ac:dyDescent="0.25">
      <c r="A828" t="s">
        <v>3049</v>
      </c>
      <c r="B828" s="1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  <c r="O828" t="str">
        <f>IF(OR($N828&lt;EDA_Summary!$B$14,$N828&gt;EDA_Summary!$B$15), "Outlier", "Normal")</f>
        <v>Normal</v>
      </c>
      <c r="S828">
        <v>3</v>
      </c>
      <c r="T828">
        <v>463.81</v>
      </c>
      <c r="U828">
        <v>8</v>
      </c>
      <c r="V828">
        <v>1391.43</v>
      </c>
    </row>
    <row r="829" spans="1:22" x14ac:dyDescent="0.25">
      <c r="A829" t="s">
        <v>3052</v>
      </c>
      <c r="B829" s="1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  <c r="O829" t="str">
        <f>IF(OR($N829&lt;EDA_Summary!$B$14,$N829&gt;EDA_Summary!$B$15), "Outlier", "Normal")</f>
        <v>Normal</v>
      </c>
      <c r="S829">
        <v>2</v>
      </c>
      <c r="T829">
        <v>639.88</v>
      </c>
      <c r="U829">
        <v>5</v>
      </c>
      <c r="V829">
        <v>1279.76</v>
      </c>
    </row>
    <row r="830" spans="1:22" x14ac:dyDescent="0.25">
      <c r="A830" t="s">
        <v>3055</v>
      </c>
      <c r="B830" s="1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  <c r="O830" t="str">
        <f>IF(OR($N830&lt;EDA_Summary!$B$14,$N830&gt;EDA_Summary!$B$15), "Outlier", "Normal")</f>
        <v>Normal</v>
      </c>
      <c r="S830">
        <v>4</v>
      </c>
      <c r="T830">
        <v>404.58</v>
      </c>
      <c r="U830">
        <v>5</v>
      </c>
      <c r="V830">
        <v>1618.32</v>
      </c>
    </row>
    <row r="831" spans="1:22" x14ac:dyDescent="0.25">
      <c r="A831" t="s">
        <v>3059</v>
      </c>
      <c r="B831" s="1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  <c r="O831" t="str">
        <f>IF(OR($N831&lt;EDA_Summary!$B$14,$N831&gt;EDA_Summary!$B$15), "Outlier", "Normal")</f>
        <v>Normal</v>
      </c>
      <c r="S831">
        <v>1</v>
      </c>
      <c r="T831">
        <v>76.930000000000007</v>
      </c>
      <c r="U831">
        <v>6</v>
      </c>
      <c r="V831">
        <v>76.930000000000007</v>
      </c>
    </row>
    <row r="832" spans="1:22" x14ac:dyDescent="0.25">
      <c r="A832" t="s">
        <v>3063</v>
      </c>
      <c r="B832" s="1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  <c r="O832" t="str">
        <f>IF(OR($N832&lt;EDA_Summary!$B$14,$N832&gt;EDA_Summary!$B$15), "Outlier", "Normal")</f>
        <v>Normal</v>
      </c>
      <c r="S832">
        <v>4</v>
      </c>
      <c r="T832">
        <v>190.64</v>
      </c>
      <c r="U832">
        <v>5</v>
      </c>
      <c r="V832">
        <v>762.56</v>
      </c>
    </row>
    <row r="833" spans="1:22" x14ac:dyDescent="0.25">
      <c r="A833" t="s">
        <v>3067</v>
      </c>
      <c r="B833" s="1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  <c r="O833" t="str">
        <f>IF(OR($N833&lt;EDA_Summary!$B$14,$N833&gt;EDA_Summary!$B$15), "Outlier", "Normal")</f>
        <v>Normal</v>
      </c>
      <c r="S833">
        <v>2</v>
      </c>
      <c r="T833">
        <v>88.73</v>
      </c>
      <c r="U833">
        <v>5</v>
      </c>
      <c r="V833">
        <v>177.46</v>
      </c>
    </row>
    <row r="834" spans="1:22" x14ac:dyDescent="0.25">
      <c r="A834" t="s">
        <v>3070</v>
      </c>
      <c r="B834" s="1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  <c r="O834" t="str">
        <f>IF(OR($N834&lt;EDA_Summary!$B$14,$N834&gt;EDA_Summary!$B$15), "Outlier", "Normal")</f>
        <v>Normal</v>
      </c>
      <c r="S834">
        <v>5</v>
      </c>
      <c r="T834">
        <v>485.71</v>
      </c>
      <c r="U834">
        <v>10</v>
      </c>
      <c r="V834">
        <v>2428.5500000000002</v>
      </c>
    </row>
    <row r="835" spans="1:22" x14ac:dyDescent="0.25">
      <c r="A835" t="s">
        <v>3073</v>
      </c>
      <c r="B835" s="1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  <c r="O835" t="str">
        <f>IF(OR($N835&lt;EDA_Summary!$B$14,$N835&gt;EDA_Summary!$B$15), "Outlier", "Normal")</f>
        <v>Normal</v>
      </c>
      <c r="S835">
        <v>5</v>
      </c>
      <c r="T835">
        <v>78.290000000000006</v>
      </c>
      <c r="U835">
        <v>5</v>
      </c>
      <c r="V835">
        <v>391.45</v>
      </c>
    </row>
    <row r="836" spans="1:22" x14ac:dyDescent="0.25">
      <c r="A836" t="s">
        <v>3077</v>
      </c>
      <c r="B836" s="1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  <c r="O836" t="str">
        <f>IF(OR($N836&lt;EDA_Summary!$B$14,$N836&gt;EDA_Summary!$B$15), "Outlier", "Normal")</f>
        <v>Normal</v>
      </c>
      <c r="S836">
        <v>5</v>
      </c>
      <c r="T836">
        <v>22.14</v>
      </c>
      <c r="U836">
        <v>10</v>
      </c>
      <c r="V836">
        <v>110.7</v>
      </c>
    </row>
    <row r="837" spans="1:22" x14ac:dyDescent="0.25">
      <c r="A837" t="s">
        <v>3080</v>
      </c>
      <c r="B837" s="1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  <c r="O837" t="str">
        <f>IF(OR($N837&lt;EDA_Summary!$B$14,$N837&gt;EDA_Summary!$B$15), "Outlier", "Normal")</f>
        <v>Normal</v>
      </c>
      <c r="S837">
        <v>1</v>
      </c>
      <c r="T837">
        <v>679.65</v>
      </c>
      <c r="U837">
        <v>6</v>
      </c>
      <c r="V837">
        <v>679.65</v>
      </c>
    </row>
    <row r="838" spans="1:22" x14ac:dyDescent="0.25">
      <c r="A838" t="s">
        <v>3084</v>
      </c>
      <c r="B838" s="1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  <c r="O838" t="str">
        <f>IF(OR($N838&lt;EDA_Summary!$B$14,$N838&gt;EDA_Summary!$B$15), "Outlier", "Normal")</f>
        <v>Normal</v>
      </c>
      <c r="S838">
        <v>1</v>
      </c>
      <c r="T838">
        <v>178.44</v>
      </c>
      <c r="U838">
        <v>2</v>
      </c>
      <c r="V838">
        <v>178.44</v>
      </c>
    </row>
    <row r="839" spans="1:22" x14ac:dyDescent="0.25">
      <c r="A839" t="s">
        <v>3087</v>
      </c>
      <c r="B839" s="1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  <c r="O839" t="str">
        <f>IF(OR($N839&lt;EDA_Summary!$B$14,$N839&gt;EDA_Summary!$B$15), "Outlier", "Normal")</f>
        <v>Normal</v>
      </c>
      <c r="S839">
        <v>5</v>
      </c>
      <c r="T839">
        <v>655.55</v>
      </c>
      <c r="U839">
        <v>5</v>
      </c>
      <c r="V839">
        <v>3277.75</v>
      </c>
    </row>
    <row r="840" spans="1:22" x14ac:dyDescent="0.25">
      <c r="A840" t="s">
        <v>3090</v>
      </c>
      <c r="B840" s="1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  <c r="O840" t="str">
        <f>IF(OR($N840&lt;EDA_Summary!$B$14,$N840&gt;EDA_Summary!$B$15), "Outlier", "Normal")</f>
        <v>Normal</v>
      </c>
      <c r="S840">
        <v>4</v>
      </c>
      <c r="T840">
        <v>577.08000000000004</v>
      </c>
      <c r="U840">
        <v>8</v>
      </c>
      <c r="V840">
        <v>2308.3200000000002</v>
      </c>
    </row>
    <row r="841" spans="1:22" x14ac:dyDescent="0.25">
      <c r="A841" t="s">
        <v>3093</v>
      </c>
      <c r="B841" s="1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  <c r="O841" t="str">
        <f>IF(OR($N841&lt;EDA_Summary!$B$14,$N841&gt;EDA_Summary!$B$15), "Outlier", "Normal")</f>
        <v>Normal</v>
      </c>
      <c r="S841">
        <v>3</v>
      </c>
      <c r="T841">
        <v>197.97</v>
      </c>
      <c r="U841">
        <v>5</v>
      </c>
      <c r="V841">
        <v>593.91</v>
      </c>
    </row>
    <row r="842" spans="1:22" x14ac:dyDescent="0.25">
      <c r="A842" t="s">
        <v>3096</v>
      </c>
      <c r="B842" s="1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  <c r="O842" t="str">
        <f>IF(OR($N842&lt;EDA_Summary!$B$14,$N842&gt;EDA_Summary!$B$15), "Outlier", "Normal")</f>
        <v>Normal</v>
      </c>
      <c r="S842">
        <v>3</v>
      </c>
      <c r="T842">
        <v>411.95</v>
      </c>
      <c r="U842">
        <v>7</v>
      </c>
      <c r="V842">
        <v>1235.8499999999999</v>
      </c>
    </row>
    <row r="843" spans="1:22" x14ac:dyDescent="0.25">
      <c r="A843" t="s">
        <v>3099</v>
      </c>
      <c r="B843" s="1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  <c r="O843" t="str">
        <f>IF(OR($N843&lt;EDA_Summary!$B$14,$N843&gt;EDA_Summary!$B$15), "Outlier", "Normal")</f>
        <v>Normal</v>
      </c>
      <c r="S843">
        <v>2</v>
      </c>
      <c r="T843">
        <v>443.22</v>
      </c>
      <c r="U843">
        <v>5</v>
      </c>
      <c r="V843">
        <v>886.44</v>
      </c>
    </row>
    <row r="844" spans="1:22" x14ac:dyDescent="0.25">
      <c r="A844" t="s">
        <v>3103</v>
      </c>
      <c r="B844" s="1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  <c r="O844" t="str">
        <f>IF(OR($N844&lt;EDA_Summary!$B$14,$N844&gt;EDA_Summary!$B$15), "Outlier", "Normal")</f>
        <v>Normal</v>
      </c>
      <c r="S844">
        <v>3</v>
      </c>
      <c r="T844">
        <v>364.14</v>
      </c>
      <c r="U844">
        <v>7</v>
      </c>
      <c r="V844">
        <v>1092.42</v>
      </c>
    </row>
    <row r="845" spans="1:22" x14ac:dyDescent="0.25">
      <c r="A845" t="s">
        <v>3106</v>
      </c>
      <c r="B845" s="1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  <c r="O845" t="str">
        <f>IF(OR($N845&lt;EDA_Summary!$B$14,$N845&gt;EDA_Summary!$B$15), "Outlier", "Normal")</f>
        <v>Normal</v>
      </c>
      <c r="S845">
        <v>3</v>
      </c>
      <c r="T845">
        <v>430.06</v>
      </c>
      <c r="U845">
        <v>8</v>
      </c>
      <c r="V845">
        <v>1290.18</v>
      </c>
    </row>
    <row r="846" spans="1:22" x14ac:dyDescent="0.25">
      <c r="A846" t="s">
        <v>3110</v>
      </c>
      <c r="B846" s="1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  <c r="O846" t="str">
        <f>IF(OR($N846&lt;EDA_Summary!$B$14,$N846&gt;EDA_Summary!$B$15), "Outlier", "Normal")</f>
        <v>Normal</v>
      </c>
      <c r="S846">
        <v>1</v>
      </c>
      <c r="T846">
        <v>320.92</v>
      </c>
      <c r="U846">
        <v>5</v>
      </c>
      <c r="V846">
        <v>320.92</v>
      </c>
    </row>
    <row r="847" spans="1:22" x14ac:dyDescent="0.25">
      <c r="A847" t="s">
        <v>3114</v>
      </c>
      <c r="B847" s="1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  <c r="O847" t="str">
        <f>IF(OR($N847&lt;EDA_Summary!$B$14,$N847&gt;EDA_Summary!$B$15), "Outlier", "Normal")</f>
        <v>Normal</v>
      </c>
      <c r="S847">
        <v>3</v>
      </c>
      <c r="T847">
        <v>107.36</v>
      </c>
      <c r="U847">
        <v>5</v>
      </c>
      <c r="V847">
        <v>322.08</v>
      </c>
    </row>
    <row r="848" spans="1:22" x14ac:dyDescent="0.25">
      <c r="A848" t="s">
        <v>3118</v>
      </c>
      <c r="B848" s="1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  <c r="O848" t="str">
        <f>IF(OR($N848&lt;EDA_Summary!$B$14,$N848&gt;EDA_Summary!$B$15), "Outlier", "Normal")</f>
        <v>Normal</v>
      </c>
      <c r="S848">
        <v>2</v>
      </c>
      <c r="T848">
        <v>359.86</v>
      </c>
      <c r="U848">
        <v>4</v>
      </c>
      <c r="V848">
        <v>719.72</v>
      </c>
    </row>
    <row r="849" spans="1:22" x14ac:dyDescent="0.25">
      <c r="A849" t="s">
        <v>3122</v>
      </c>
      <c r="B849" s="1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  <c r="O849" t="str">
        <f>IF(OR($N849&lt;EDA_Summary!$B$14,$N849&gt;EDA_Summary!$B$15), "Outlier", "Normal")</f>
        <v>Normal</v>
      </c>
      <c r="S849">
        <v>4</v>
      </c>
      <c r="T849">
        <v>434.23</v>
      </c>
      <c r="U849">
        <v>8</v>
      </c>
      <c r="V849">
        <v>1736.92</v>
      </c>
    </row>
    <row r="850" spans="1:22" x14ac:dyDescent="0.25">
      <c r="A850" t="s">
        <v>3125</v>
      </c>
      <c r="B850" s="1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  <c r="O850" t="str">
        <f>IF(OR($N850&lt;EDA_Summary!$B$14,$N850&gt;EDA_Summary!$B$15), "Outlier", "Normal")</f>
        <v>Normal</v>
      </c>
      <c r="S850">
        <v>2</v>
      </c>
      <c r="T850">
        <v>645.85</v>
      </c>
      <c r="U850">
        <v>5</v>
      </c>
      <c r="V850">
        <v>1291.7</v>
      </c>
    </row>
    <row r="851" spans="1:22" x14ac:dyDescent="0.25">
      <c r="A851" t="s">
        <v>3128</v>
      </c>
      <c r="B851" s="1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  <c r="O851" t="str">
        <f>IF(OR($N851&lt;EDA_Summary!$B$14,$N851&gt;EDA_Summary!$B$15), "Outlier", "Normal")</f>
        <v>Normal</v>
      </c>
      <c r="S851">
        <v>4</v>
      </c>
      <c r="T851">
        <v>214.35</v>
      </c>
      <c r="U851">
        <v>7</v>
      </c>
      <c r="V851">
        <v>857.4</v>
      </c>
    </row>
    <row r="852" spans="1:22" x14ac:dyDescent="0.25">
      <c r="A852" t="s">
        <v>3131</v>
      </c>
      <c r="B852" s="1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  <c r="O852" t="str">
        <f>IF(OR($N852&lt;EDA_Summary!$B$14,$N852&gt;EDA_Summary!$B$15), "Outlier", "Normal")</f>
        <v>Normal</v>
      </c>
      <c r="S852">
        <v>3</v>
      </c>
      <c r="T852">
        <v>638.5</v>
      </c>
      <c r="U852">
        <v>4</v>
      </c>
      <c r="V852">
        <v>1915.5</v>
      </c>
    </row>
    <row r="853" spans="1:22" x14ac:dyDescent="0.25">
      <c r="A853" t="s">
        <v>3134</v>
      </c>
      <c r="B853" s="1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  <c r="O853" t="str">
        <f>IF(OR($N853&lt;EDA_Summary!$B$14,$N853&gt;EDA_Summary!$B$15), "Outlier", "Normal")</f>
        <v>Normal</v>
      </c>
      <c r="S853">
        <v>1</v>
      </c>
      <c r="T853">
        <v>365.57</v>
      </c>
      <c r="U853">
        <v>5</v>
      </c>
      <c r="V853">
        <v>365.57</v>
      </c>
    </row>
    <row r="854" spans="1:22" x14ac:dyDescent="0.25">
      <c r="A854" t="s">
        <v>3137</v>
      </c>
      <c r="B854" s="1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  <c r="O854" t="str">
        <f>IF(OR($N854&lt;EDA_Summary!$B$14,$N854&gt;EDA_Summary!$B$15), "Outlier", "Normal")</f>
        <v>Normal</v>
      </c>
      <c r="S854">
        <v>3</v>
      </c>
      <c r="T854">
        <v>568.04999999999995</v>
      </c>
      <c r="U854">
        <v>6</v>
      </c>
      <c r="V854">
        <v>1704.15</v>
      </c>
    </row>
    <row r="855" spans="1:22" x14ac:dyDescent="0.25">
      <c r="A855" t="s">
        <v>3141</v>
      </c>
      <c r="B855" s="1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  <c r="O855" t="str">
        <f>IF(OR($N855&lt;EDA_Summary!$B$14,$N855&gt;EDA_Summary!$B$15), "Outlier", "Normal")</f>
        <v>Normal</v>
      </c>
      <c r="S855">
        <v>3</v>
      </c>
      <c r="T855">
        <v>490.01</v>
      </c>
      <c r="U855">
        <v>4</v>
      </c>
      <c r="V855">
        <v>1470.03</v>
      </c>
    </row>
    <row r="856" spans="1:22" x14ac:dyDescent="0.25">
      <c r="A856" t="s">
        <v>3144</v>
      </c>
      <c r="B856" s="1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  <c r="O856" t="str">
        <f>IF(OR($N856&lt;EDA_Summary!$B$14,$N856&gt;EDA_Summary!$B$15), "Outlier", "Normal")</f>
        <v>Normal</v>
      </c>
      <c r="S856">
        <v>3</v>
      </c>
      <c r="T856">
        <v>372.6</v>
      </c>
      <c r="U856">
        <v>7</v>
      </c>
      <c r="V856">
        <v>1117.8</v>
      </c>
    </row>
    <row r="857" spans="1:22" x14ac:dyDescent="0.25">
      <c r="A857" t="s">
        <v>3147</v>
      </c>
      <c r="B857" s="1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  <c r="O857" t="str">
        <f>IF(OR($N857&lt;EDA_Summary!$B$14,$N857&gt;EDA_Summary!$B$15), "Outlier", "Normal")</f>
        <v>Normal</v>
      </c>
      <c r="S857">
        <v>5</v>
      </c>
      <c r="T857">
        <v>240.61</v>
      </c>
      <c r="U857">
        <v>10</v>
      </c>
      <c r="V857">
        <v>1203.05</v>
      </c>
    </row>
    <row r="858" spans="1:22" x14ac:dyDescent="0.25">
      <c r="A858" t="s">
        <v>3150</v>
      </c>
      <c r="B858" s="1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  <c r="O858" t="str">
        <f>IF(OR($N858&lt;EDA_Summary!$B$14,$N858&gt;EDA_Summary!$B$15), "Outlier", "Normal")</f>
        <v>Normal</v>
      </c>
      <c r="S858">
        <v>1</v>
      </c>
      <c r="T858">
        <v>586.62</v>
      </c>
      <c r="U858">
        <v>5</v>
      </c>
      <c r="V858">
        <v>586.62</v>
      </c>
    </row>
    <row r="859" spans="1:22" x14ac:dyDescent="0.25">
      <c r="A859" t="s">
        <v>3153</v>
      </c>
      <c r="B859" s="1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  <c r="O859" t="str">
        <f>IF(OR($N859&lt;EDA_Summary!$B$14,$N859&gt;EDA_Summary!$B$15), "Outlier", "Normal")</f>
        <v>Normal</v>
      </c>
      <c r="S859">
        <v>3</v>
      </c>
      <c r="T859">
        <v>257.83999999999997</v>
      </c>
      <c r="U859">
        <v>4</v>
      </c>
      <c r="V859">
        <v>773.52</v>
      </c>
    </row>
    <row r="860" spans="1:22" x14ac:dyDescent="0.25">
      <c r="A860" t="s">
        <v>3156</v>
      </c>
      <c r="B860" s="1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  <c r="O860" t="str">
        <f>IF(OR($N860&lt;EDA_Summary!$B$14,$N860&gt;EDA_Summary!$B$15), "Outlier", "Normal")</f>
        <v>Normal</v>
      </c>
      <c r="S860">
        <v>5</v>
      </c>
      <c r="T860">
        <v>435.66</v>
      </c>
      <c r="U860">
        <v>9</v>
      </c>
      <c r="V860">
        <v>2178.3000000000002</v>
      </c>
    </row>
    <row r="861" spans="1:22" x14ac:dyDescent="0.25">
      <c r="A861" t="s">
        <v>3159</v>
      </c>
      <c r="B861" s="1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  <c r="O861" t="str">
        <f>IF(OR($N861&lt;EDA_Summary!$B$14,$N861&gt;EDA_Summary!$B$15), "Outlier", "Normal")</f>
        <v>Normal</v>
      </c>
      <c r="S861">
        <v>5</v>
      </c>
      <c r="T861">
        <v>261.33</v>
      </c>
      <c r="U861">
        <v>5</v>
      </c>
      <c r="V861">
        <v>1306.6500000000001</v>
      </c>
    </row>
    <row r="862" spans="1:22" x14ac:dyDescent="0.25">
      <c r="A862" t="s">
        <v>3162</v>
      </c>
      <c r="B862" s="1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  <c r="O862" t="str">
        <f>IF(OR($N862&lt;EDA_Summary!$B$14,$N862&gt;EDA_Summary!$B$15), "Outlier", "Normal")</f>
        <v>Normal</v>
      </c>
      <c r="S862">
        <v>1</v>
      </c>
      <c r="T862">
        <v>422.54</v>
      </c>
      <c r="U862">
        <v>1</v>
      </c>
      <c r="V862">
        <v>422.54</v>
      </c>
    </row>
    <row r="863" spans="1:22" x14ac:dyDescent="0.25">
      <c r="A863" t="s">
        <v>3165</v>
      </c>
      <c r="B863" s="1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  <c r="O863" t="str">
        <f>IF(OR($N863&lt;EDA_Summary!$B$14,$N863&gt;EDA_Summary!$B$15), "Outlier", "Normal")</f>
        <v>Normal</v>
      </c>
      <c r="S863">
        <v>5</v>
      </c>
      <c r="T863">
        <v>330.45</v>
      </c>
      <c r="U863">
        <v>10</v>
      </c>
      <c r="V863">
        <v>1652.25</v>
      </c>
    </row>
    <row r="864" spans="1:22" x14ac:dyDescent="0.25">
      <c r="A864" t="s">
        <v>3169</v>
      </c>
      <c r="B864" s="1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  <c r="O864" t="str">
        <f>IF(OR($N864&lt;EDA_Summary!$B$14,$N864&gt;EDA_Summary!$B$15), "Outlier", "Normal")</f>
        <v>Normal</v>
      </c>
      <c r="S864">
        <v>3</v>
      </c>
      <c r="T864">
        <v>120.82</v>
      </c>
      <c r="U864">
        <v>5</v>
      </c>
      <c r="V864">
        <v>362.46</v>
      </c>
    </row>
    <row r="865" spans="1:22" x14ac:dyDescent="0.25">
      <c r="A865" t="s">
        <v>3172</v>
      </c>
      <c r="B865" s="1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  <c r="O865" t="str">
        <f>IF(OR($N865&lt;EDA_Summary!$B$14,$N865&gt;EDA_Summary!$B$15), "Outlier", "Normal")</f>
        <v>Normal</v>
      </c>
      <c r="S865">
        <v>1</v>
      </c>
      <c r="T865">
        <v>14.06</v>
      </c>
      <c r="U865">
        <v>5</v>
      </c>
      <c r="V865">
        <v>14.06</v>
      </c>
    </row>
    <row r="866" spans="1:22" x14ac:dyDescent="0.25">
      <c r="A866" t="s">
        <v>3175</v>
      </c>
      <c r="B866" s="1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  <c r="O866" t="str">
        <f>IF(OR($N866&lt;EDA_Summary!$B$14,$N866&gt;EDA_Summary!$B$15), "Outlier", "Normal")</f>
        <v>Normal</v>
      </c>
      <c r="S866">
        <v>1</v>
      </c>
      <c r="T866">
        <v>491.11</v>
      </c>
      <c r="U866">
        <v>4</v>
      </c>
      <c r="V866">
        <v>491.11</v>
      </c>
    </row>
    <row r="867" spans="1:22" x14ac:dyDescent="0.25">
      <c r="A867" t="s">
        <v>3179</v>
      </c>
      <c r="B867" s="1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  <c r="O867" t="str">
        <f>IF(OR($N867&lt;EDA_Summary!$B$14,$N867&gt;EDA_Summary!$B$15), "Outlier", "Normal")</f>
        <v>Normal</v>
      </c>
      <c r="S867">
        <v>4</v>
      </c>
      <c r="T867">
        <v>677.37</v>
      </c>
      <c r="U867">
        <v>8</v>
      </c>
      <c r="V867">
        <v>2709.48</v>
      </c>
    </row>
    <row r="868" spans="1:22" x14ac:dyDescent="0.25">
      <c r="A868" t="s">
        <v>3183</v>
      </c>
      <c r="B868" s="1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  <c r="O868" t="str">
        <f>IF(OR($N868&lt;EDA_Summary!$B$14,$N868&gt;EDA_Summary!$B$15), "Outlier", "Normal")</f>
        <v>Normal</v>
      </c>
      <c r="S868">
        <v>5</v>
      </c>
      <c r="T868">
        <v>189.25</v>
      </c>
      <c r="U868">
        <v>10</v>
      </c>
      <c r="V868">
        <v>946.25</v>
      </c>
    </row>
    <row r="869" spans="1:22" x14ac:dyDescent="0.25">
      <c r="A869" t="s">
        <v>3187</v>
      </c>
      <c r="B869" s="1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  <c r="O869" t="str">
        <f>IF(OR($N869&lt;EDA_Summary!$B$14,$N869&gt;EDA_Summary!$B$15), "Outlier", "Normal")</f>
        <v>Normal</v>
      </c>
      <c r="S869">
        <v>4</v>
      </c>
      <c r="T869">
        <v>142.58000000000001</v>
      </c>
      <c r="U869">
        <v>4</v>
      </c>
      <c r="V869">
        <v>570.32000000000005</v>
      </c>
    </row>
    <row r="870" spans="1:22" x14ac:dyDescent="0.25">
      <c r="A870" t="s">
        <v>3191</v>
      </c>
      <c r="B870" s="1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  <c r="O870" t="str">
        <f>IF(OR($N870&lt;EDA_Summary!$B$14,$N870&gt;EDA_Summary!$B$15), "Outlier", "Normal")</f>
        <v>Normal</v>
      </c>
      <c r="S870">
        <v>4</v>
      </c>
      <c r="T870">
        <v>316.32</v>
      </c>
      <c r="U870">
        <v>7</v>
      </c>
      <c r="V870">
        <v>1265.28</v>
      </c>
    </row>
    <row r="871" spans="1:22" x14ac:dyDescent="0.25">
      <c r="A871" t="s">
        <v>3195</v>
      </c>
      <c r="B871" s="1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  <c r="O871" t="str">
        <f>IF(OR($N871&lt;EDA_Summary!$B$14,$N871&gt;EDA_Summary!$B$15), "Outlier", "Normal")</f>
        <v>Normal</v>
      </c>
      <c r="S871">
        <v>2</v>
      </c>
      <c r="T871">
        <v>533.95000000000005</v>
      </c>
      <c r="U871">
        <v>5</v>
      </c>
      <c r="V871">
        <v>1067.9000000000001</v>
      </c>
    </row>
    <row r="872" spans="1:22" x14ac:dyDescent="0.25">
      <c r="A872" t="s">
        <v>3198</v>
      </c>
      <c r="B872" s="1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  <c r="O872" t="str">
        <f>IF(OR($N872&lt;EDA_Summary!$B$14,$N872&gt;EDA_Summary!$B$15), "Outlier", "Normal")</f>
        <v>Normal</v>
      </c>
      <c r="S872">
        <v>4</v>
      </c>
      <c r="T872">
        <v>470.09</v>
      </c>
      <c r="U872">
        <v>4</v>
      </c>
      <c r="V872">
        <v>1880.36</v>
      </c>
    </row>
    <row r="873" spans="1:22" x14ac:dyDescent="0.25">
      <c r="A873" t="s">
        <v>3202</v>
      </c>
      <c r="B873" s="1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  <c r="O873" t="str">
        <f>IF(OR($N873&lt;EDA_Summary!$B$14,$N873&gt;EDA_Summary!$B$15), "Outlier", "Normal")</f>
        <v>Normal</v>
      </c>
      <c r="S873">
        <v>3</v>
      </c>
      <c r="T873">
        <v>324.3</v>
      </c>
      <c r="U873">
        <v>8</v>
      </c>
      <c r="V873">
        <v>972.90000000000009</v>
      </c>
    </row>
    <row r="874" spans="1:22" x14ac:dyDescent="0.25">
      <c r="A874" t="s">
        <v>3206</v>
      </c>
      <c r="B874" s="1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  <c r="O874" t="str">
        <f>IF(OR($N874&lt;EDA_Summary!$B$14,$N874&gt;EDA_Summary!$B$15), "Outlier", "Normal")</f>
        <v>Normal</v>
      </c>
      <c r="S874">
        <v>4</v>
      </c>
      <c r="T874">
        <v>629.34</v>
      </c>
      <c r="U874">
        <v>7</v>
      </c>
      <c r="V874">
        <v>2517.36</v>
      </c>
    </row>
    <row r="875" spans="1:22" x14ac:dyDescent="0.25">
      <c r="A875" t="s">
        <v>3209</v>
      </c>
      <c r="B875" s="1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  <c r="O875" t="str">
        <f>IF(OR($N875&lt;EDA_Summary!$B$14,$N875&gt;EDA_Summary!$B$15), "Outlier", "Normal")</f>
        <v>Normal</v>
      </c>
      <c r="S875">
        <v>3</v>
      </c>
      <c r="T875">
        <v>136.84</v>
      </c>
      <c r="U875">
        <v>3</v>
      </c>
      <c r="V875">
        <v>410.52</v>
      </c>
    </row>
    <row r="876" spans="1:22" x14ac:dyDescent="0.25">
      <c r="A876" t="s">
        <v>3213</v>
      </c>
      <c r="B876" s="1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  <c r="O876" t="str">
        <f>IF(OR($N876&lt;EDA_Summary!$B$14,$N876&gt;EDA_Summary!$B$15), "Outlier", "Normal")</f>
        <v>Normal</v>
      </c>
      <c r="S876">
        <v>2</v>
      </c>
      <c r="T876">
        <v>488.9</v>
      </c>
      <c r="U876">
        <v>7</v>
      </c>
      <c r="V876">
        <v>977.8</v>
      </c>
    </row>
    <row r="877" spans="1:22" x14ac:dyDescent="0.25">
      <c r="A877" t="s">
        <v>3216</v>
      </c>
      <c r="B877" s="1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  <c r="O877" t="str">
        <f>IF(OR($N877&lt;EDA_Summary!$B$14,$N877&gt;EDA_Summary!$B$15), "Outlier", "Normal")</f>
        <v>Normal</v>
      </c>
      <c r="S877">
        <v>5</v>
      </c>
      <c r="T877">
        <v>133.38999999999999</v>
      </c>
      <c r="U877">
        <v>6</v>
      </c>
      <c r="V877">
        <v>666.94999999999993</v>
      </c>
    </row>
    <row r="878" spans="1:22" x14ac:dyDescent="0.25">
      <c r="A878" t="s">
        <v>3219</v>
      </c>
      <c r="B878" s="1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  <c r="O878" t="str">
        <f>IF(OR($N878&lt;EDA_Summary!$B$14,$N878&gt;EDA_Summary!$B$15), "Outlier", "Normal")</f>
        <v>Normal</v>
      </c>
      <c r="S878">
        <v>5</v>
      </c>
      <c r="T878">
        <v>608.91</v>
      </c>
      <c r="U878">
        <v>6</v>
      </c>
      <c r="V878">
        <v>3044.55</v>
      </c>
    </row>
    <row r="879" spans="1:22" x14ac:dyDescent="0.25">
      <c r="A879" t="s">
        <v>3222</v>
      </c>
      <c r="B879" s="1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  <c r="O879" t="str">
        <f>IF(OR($N879&lt;EDA_Summary!$B$14,$N879&gt;EDA_Summary!$B$15), "Outlier", "Normal")</f>
        <v>Normal</v>
      </c>
      <c r="S879">
        <v>1</v>
      </c>
      <c r="T879">
        <v>524.05999999999995</v>
      </c>
      <c r="U879">
        <v>3</v>
      </c>
      <c r="V879">
        <v>524.05999999999995</v>
      </c>
    </row>
    <row r="880" spans="1:22" x14ac:dyDescent="0.25">
      <c r="A880" t="s">
        <v>3225</v>
      </c>
      <c r="B880" s="1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  <c r="O880" t="str">
        <f>IF(OR($N880&lt;EDA_Summary!$B$14,$N880&gt;EDA_Summary!$B$15), "Outlier", "Normal")</f>
        <v>Normal</v>
      </c>
      <c r="S880">
        <v>2</v>
      </c>
      <c r="T880">
        <v>330.69</v>
      </c>
      <c r="U880">
        <v>5</v>
      </c>
      <c r="V880">
        <v>661.38</v>
      </c>
    </row>
    <row r="881" spans="1:22" x14ac:dyDescent="0.25">
      <c r="A881" t="s">
        <v>3229</v>
      </c>
      <c r="B881" s="1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  <c r="O881" t="str">
        <f>IF(OR($N881&lt;EDA_Summary!$B$14,$N881&gt;EDA_Summary!$B$15), "Outlier", "Normal")</f>
        <v>Normal</v>
      </c>
      <c r="S881">
        <v>2</v>
      </c>
      <c r="T881">
        <v>547.66999999999996</v>
      </c>
      <c r="U881">
        <v>3</v>
      </c>
      <c r="V881">
        <v>1095.3399999999999</v>
      </c>
    </row>
    <row r="882" spans="1:22" x14ac:dyDescent="0.25">
      <c r="A882" t="s">
        <v>3232</v>
      </c>
      <c r="B882" s="1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  <c r="O882" t="str">
        <f>IF(OR($N882&lt;EDA_Summary!$B$14,$N882&gt;EDA_Summary!$B$15), "Outlier", "Normal")</f>
        <v>Normal</v>
      </c>
      <c r="S882">
        <v>4</v>
      </c>
      <c r="T882">
        <v>233.7</v>
      </c>
      <c r="U882">
        <v>8</v>
      </c>
      <c r="V882">
        <v>934.8</v>
      </c>
    </row>
    <row r="883" spans="1:22" x14ac:dyDescent="0.25">
      <c r="A883" t="s">
        <v>3235</v>
      </c>
      <c r="B883" s="1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  <c r="O883" t="str">
        <f>IF(OR($N883&lt;EDA_Summary!$B$14,$N883&gt;EDA_Summary!$B$15), "Outlier", "Normal")</f>
        <v>Normal</v>
      </c>
      <c r="S883">
        <v>2</v>
      </c>
      <c r="T883">
        <v>448.85</v>
      </c>
      <c r="U883">
        <v>6</v>
      </c>
      <c r="V883">
        <v>897.7</v>
      </c>
    </row>
    <row r="884" spans="1:22" x14ac:dyDescent="0.25">
      <c r="A884" t="s">
        <v>3239</v>
      </c>
      <c r="B884" s="1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  <c r="O884" t="str">
        <f>IF(OR($N884&lt;EDA_Summary!$B$14,$N884&gt;EDA_Summary!$B$15), "Outlier", "Normal")</f>
        <v>Normal</v>
      </c>
      <c r="S884">
        <v>2</v>
      </c>
      <c r="T884">
        <v>274.12</v>
      </c>
      <c r="U884">
        <v>6</v>
      </c>
      <c r="V884">
        <v>548.24</v>
      </c>
    </row>
    <row r="885" spans="1:22" x14ac:dyDescent="0.25">
      <c r="A885" t="s">
        <v>3242</v>
      </c>
      <c r="B885" s="1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  <c r="O885" t="str">
        <f>IF(OR($N885&lt;EDA_Summary!$B$14,$N885&gt;EDA_Summary!$B$15), "Outlier", "Normal")</f>
        <v>Normal</v>
      </c>
      <c r="S885">
        <v>5</v>
      </c>
      <c r="T885">
        <v>561.48</v>
      </c>
      <c r="U885">
        <v>9</v>
      </c>
      <c r="V885">
        <v>2807.4</v>
      </c>
    </row>
    <row r="886" spans="1:22" x14ac:dyDescent="0.25">
      <c r="A886" t="s">
        <v>3246</v>
      </c>
      <c r="B886" s="1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  <c r="O886" t="str">
        <f>IF(OR($N886&lt;EDA_Summary!$B$14,$N886&gt;EDA_Summary!$B$15), "Outlier", "Normal")</f>
        <v>Normal</v>
      </c>
      <c r="S886">
        <v>1</v>
      </c>
      <c r="T886">
        <v>595.54</v>
      </c>
      <c r="U886">
        <v>4</v>
      </c>
      <c r="V886">
        <v>595.54</v>
      </c>
    </row>
    <row r="887" spans="1:22" x14ac:dyDescent="0.25">
      <c r="A887" t="s">
        <v>3250</v>
      </c>
      <c r="B887" s="1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  <c r="O887" t="str">
        <f>IF(OR($N887&lt;EDA_Summary!$B$14,$N887&gt;EDA_Summary!$B$15), "Outlier", "Normal")</f>
        <v>Normal</v>
      </c>
      <c r="S887">
        <v>4</v>
      </c>
      <c r="T887">
        <v>515.59</v>
      </c>
      <c r="U887">
        <v>7</v>
      </c>
      <c r="V887">
        <v>2062.36</v>
      </c>
    </row>
    <row r="888" spans="1:22" x14ac:dyDescent="0.25">
      <c r="A888" t="s">
        <v>3254</v>
      </c>
      <c r="B888" s="1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  <c r="O888" t="str">
        <f>IF(OR($N888&lt;EDA_Summary!$B$14,$N888&gt;EDA_Summary!$B$15), "Outlier", "Normal")</f>
        <v>Normal</v>
      </c>
      <c r="S888">
        <v>1</v>
      </c>
      <c r="T888">
        <v>460.13</v>
      </c>
      <c r="U888">
        <v>1</v>
      </c>
      <c r="V888">
        <v>460.13</v>
      </c>
    </row>
    <row r="889" spans="1:22" x14ac:dyDescent="0.25">
      <c r="A889" t="s">
        <v>3258</v>
      </c>
      <c r="B889" s="1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  <c r="O889" t="str">
        <f>IF(OR($N889&lt;EDA_Summary!$B$14,$N889&gt;EDA_Summary!$B$15), "Outlier", "Normal")</f>
        <v>Normal</v>
      </c>
      <c r="S889">
        <v>3</v>
      </c>
      <c r="T889">
        <v>171.66</v>
      </c>
      <c r="U889">
        <v>7</v>
      </c>
      <c r="V889">
        <v>514.98</v>
      </c>
    </row>
    <row r="890" spans="1:22" x14ac:dyDescent="0.25">
      <c r="A890" t="s">
        <v>3262</v>
      </c>
      <c r="B890" s="1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  <c r="O890" t="str">
        <f>IF(OR($N890&lt;EDA_Summary!$B$14,$N890&gt;EDA_Summary!$B$15), "Outlier", "Normal")</f>
        <v>Normal</v>
      </c>
      <c r="S890">
        <v>2</v>
      </c>
      <c r="T890">
        <v>266.95</v>
      </c>
      <c r="U890">
        <v>3</v>
      </c>
      <c r="V890">
        <v>533.9</v>
      </c>
    </row>
    <row r="891" spans="1:22" x14ac:dyDescent="0.25">
      <c r="A891" t="s">
        <v>3266</v>
      </c>
      <c r="B891" s="1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  <c r="O891" t="str">
        <f>IF(OR($N891&lt;EDA_Summary!$B$14,$N891&gt;EDA_Summary!$B$15), "Outlier", "Normal")</f>
        <v>Normal</v>
      </c>
      <c r="S891">
        <v>5</v>
      </c>
      <c r="T891">
        <v>650.72</v>
      </c>
      <c r="U891">
        <v>8</v>
      </c>
      <c r="V891">
        <v>3253.6</v>
      </c>
    </row>
    <row r="892" spans="1:22" x14ac:dyDescent="0.25">
      <c r="A892" t="s">
        <v>3270</v>
      </c>
      <c r="B892" s="1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  <c r="O892" t="str">
        <f>IF(OR($N892&lt;EDA_Summary!$B$14,$N892&gt;EDA_Summary!$B$15), "Outlier", "Normal")</f>
        <v>Normal</v>
      </c>
      <c r="S892">
        <v>3</v>
      </c>
      <c r="T892">
        <v>439.53</v>
      </c>
      <c r="U892">
        <v>5</v>
      </c>
      <c r="V892">
        <v>1318.59</v>
      </c>
    </row>
    <row r="893" spans="1:22" x14ac:dyDescent="0.25">
      <c r="A893" t="s">
        <v>3273</v>
      </c>
      <c r="B893" s="1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  <c r="O893" t="str">
        <f>IF(OR($N893&lt;EDA_Summary!$B$14,$N893&gt;EDA_Summary!$B$15), "Outlier", "Normal")</f>
        <v>Normal</v>
      </c>
      <c r="S893">
        <v>3</v>
      </c>
      <c r="T893">
        <v>654.54</v>
      </c>
      <c r="U893">
        <v>7</v>
      </c>
      <c r="V893">
        <v>1963.62</v>
      </c>
    </row>
    <row r="894" spans="1:22" x14ac:dyDescent="0.25">
      <c r="A894" t="s">
        <v>3277</v>
      </c>
      <c r="B894" s="1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  <c r="O894" t="str">
        <f>IF(OR($N894&lt;EDA_Summary!$B$14,$N894&gt;EDA_Summary!$B$15), "Outlier", "Normal")</f>
        <v>Normal</v>
      </c>
      <c r="S894">
        <v>1</v>
      </c>
      <c r="T894">
        <v>394.53</v>
      </c>
      <c r="U894">
        <v>2</v>
      </c>
      <c r="V894">
        <v>394.53</v>
      </c>
    </row>
    <row r="895" spans="1:22" x14ac:dyDescent="0.25">
      <c r="A895" t="s">
        <v>3281</v>
      </c>
      <c r="B895" s="1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  <c r="O895" t="str">
        <f>IF(OR($N895&lt;EDA_Summary!$B$14,$N895&gt;EDA_Summary!$B$15), "Outlier", "Normal")</f>
        <v>Normal</v>
      </c>
      <c r="S895">
        <v>1</v>
      </c>
      <c r="T895">
        <v>678.01</v>
      </c>
      <c r="U895">
        <v>4</v>
      </c>
      <c r="V895">
        <v>678.01</v>
      </c>
    </row>
    <row r="896" spans="1:22" x14ac:dyDescent="0.25">
      <c r="A896" t="s">
        <v>3284</v>
      </c>
      <c r="B896" s="1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  <c r="O896" t="str">
        <f>IF(OR($N896&lt;EDA_Summary!$B$14,$N896&gt;EDA_Summary!$B$15), "Outlier", "Normal")</f>
        <v>Normal</v>
      </c>
      <c r="S896">
        <v>3</v>
      </c>
      <c r="T896">
        <v>575.01</v>
      </c>
      <c r="U896">
        <v>8</v>
      </c>
      <c r="V896">
        <v>1725.03</v>
      </c>
    </row>
    <row r="897" spans="1:22" x14ac:dyDescent="0.25">
      <c r="A897" t="s">
        <v>3287</v>
      </c>
      <c r="B897" s="1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  <c r="O897" t="str">
        <f>IF(OR($N897&lt;EDA_Summary!$B$14,$N897&gt;EDA_Summary!$B$15), "Outlier", "Normal")</f>
        <v>Normal</v>
      </c>
      <c r="S897">
        <v>3</v>
      </c>
      <c r="T897">
        <v>154.63999999999999</v>
      </c>
      <c r="U897">
        <v>6</v>
      </c>
      <c r="V897">
        <v>463.92</v>
      </c>
    </row>
    <row r="898" spans="1:22" x14ac:dyDescent="0.25">
      <c r="A898" t="s">
        <v>3291</v>
      </c>
      <c r="B898" s="1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  <c r="O898" t="str">
        <f>IF(OR($N898&lt;EDA_Summary!$B$14,$N898&gt;EDA_Summary!$B$15), "Outlier", "Normal")</f>
        <v>Normal</v>
      </c>
      <c r="S898">
        <v>3</v>
      </c>
      <c r="T898">
        <v>147.29</v>
      </c>
      <c r="U898">
        <v>3</v>
      </c>
      <c r="V898">
        <v>441.87</v>
      </c>
    </row>
    <row r="899" spans="1:22" x14ac:dyDescent="0.25">
      <c r="A899" t="s">
        <v>3294</v>
      </c>
      <c r="B899" s="1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  <c r="O899" t="str">
        <f>IF(OR($N899&lt;EDA_Summary!$B$14,$N899&gt;EDA_Summary!$B$15), "Outlier", "Normal")</f>
        <v>Normal</v>
      </c>
      <c r="S899">
        <v>4</v>
      </c>
      <c r="T899">
        <v>481.48</v>
      </c>
      <c r="U899">
        <v>5</v>
      </c>
      <c r="V899">
        <v>1925.92</v>
      </c>
    </row>
    <row r="900" spans="1:22" x14ac:dyDescent="0.25">
      <c r="A900" t="s">
        <v>3297</v>
      </c>
      <c r="B900" s="1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  <c r="O900" t="str">
        <f>IF(OR($N900&lt;EDA_Summary!$B$14,$N900&gt;EDA_Summary!$B$15), "Outlier", "Normal")</f>
        <v>Normal</v>
      </c>
      <c r="S900">
        <v>3</v>
      </c>
      <c r="T900">
        <v>158.37</v>
      </c>
      <c r="U900">
        <v>6</v>
      </c>
      <c r="V900">
        <v>475.11</v>
      </c>
    </row>
    <row r="901" spans="1:22" x14ac:dyDescent="0.25">
      <c r="A901" t="s">
        <v>3300</v>
      </c>
      <c r="B901" s="1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  <c r="O901" t="str">
        <f>IF(OR($N901&lt;EDA_Summary!$B$14,$N901&gt;EDA_Summary!$B$15), "Outlier", "Normal")</f>
        <v>Normal</v>
      </c>
      <c r="S901">
        <v>2</v>
      </c>
      <c r="T901">
        <v>323.37</v>
      </c>
      <c r="U901">
        <v>3</v>
      </c>
      <c r="V901">
        <v>646.74</v>
      </c>
    </row>
    <row r="902" spans="1:22" x14ac:dyDescent="0.25">
      <c r="A902" t="s">
        <v>3303</v>
      </c>
      <c r="B902" s="1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  <c r="O902" t="str">
        <f>IF(OR($N902&lt;EDA_Summary!$B$14,$N902&gt;EDA_Summary!$B$15), "Outlier", "Normal")</f>
        <v>Normal</v>
      </c>
      <c r="S902">
        <v>5</v>
      </c>
      <c r="T902">
        <v>73.83</v>
      </c>
      <c r="U902">
        <v>9</v>
      </c>
      <c r="V902">
        <v>369.15</v>
      </c>
    </row>
    <row r="903" spans="1:22" x14ac:dyDescent="0.25">
      <c r="A903" t="s">
        <v>3306</v>
      </c>
      <c r="B903" s="1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  <c r="O903" t="str">
        <f>IF(OR($N903&lt;EDA_Summary!$B$14,$N903&gt;EDA_Summary!$B$15), "Outlier", "Normal")</f>
        <v>Normal</v>
      </c>
      <c r="S903">
        <v>1</v>
      </c>
      <c r="T903">
        <v>458.63</v>
      </c>
      <c r="U903">
        <v>4</v>
      </c>
      <c r="V903">
        <v>458.63</v>
      </c>
    </row>
    <row r="904" spans="1:22" x14ac:dyDescent="0.25">
      <c r="A904" t="s">
        <v>3309</v>
      </c>
      <c r="B904" s="1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  <c r="O904" t="str">
        <f>IF(OR($N904&lt;EDA_Summary!$B$14,$N904&gt;EDA_Summary!$B$15), "Outlier", "Normal")</f>
        <v>Normal</v>
      </c>
      <c r="S904">
        <v>4</v>
      </c>
      <c r="T904">
        <v>180.25</v>
      </c>
      <c r="U904">
        <v>7</v>
      </c>
      <c r="V904">
        <v>721</v>
      </c>
    </row>
    <row r="905" spans="1:22" x14ac:dyDescent="0.25">
      <c r="A905" t="s">
        <v>3312</v>
      </c>
      <c r="B905" s="1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  <c r="O905" t="str">
        <f>IF(OR($N905&lt;EDA_Summary!$B$14,$N905&gt;EDA_Summary!$B$15), "Outlier", "Normal")</f>
        <v>Normal</v>
      </c>
      <c r="S905">
        <v>3</v>
      </c>
      <c r="T905">
        <v>473.49</v>
      </c>
      <c r="U905">
        <v>7</v>
      </c>
      <c r="V905">
        <v>1420.47</v>
      </c>
    </row>
    <row r="906" spans="1:22" x14ac:dyDescent="0.25">
      <c r="A906" t="s">
        <v>3315</v>
      </c>
      <c r="B906" s="1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  <c r="O906" t="str">
        <f>IF(OR($N906&lt;EDA_Summary!$B$14,$N906&gt;EDA_Summary!$B$15), "Outlier", "Normal")</f>
        <v>Normal</v>
      </c>
      <c r="S906">
        <v>4</v>
      </c>
      <c r="T906">
        <v>237.43</v>
      </c>
      <c r="U906">
        <v>8</v>
      </c>
      <c r="V906">
        <v>949.72</v>
      </c>
    </row>
    <row r="907" spans="1:22" x14ac:dyDescent="0.25">
      <c r="A907" t="s">
        <v>3318</v>
      </c>
      <c r="B907" s="1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  <c r="O907" t="str">
        <f>IF(OR($N907&lt;EDA_Summary!$B$14,$N907&gt;EDA_Summary!$B$15), "Outlier", "Normal")</f>
        <v>Normal</v>
      </c>
      <c r="S907">
        <v>1</v>
      </c>
      <c r="T907">
        <v>442.39</v>
      </c>
      <c r="U907">
        <v>6</v>
      </c>
      <c r="V907">
        <v>442.39</v>
      </c>
    </row>
    <row r="908" spans="1:22" x14ac:dyDescent="0.25">
      <c r="A908" t="s">
        <v>3321</v>
      </c>
      <c r="B908" s="1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  <c r="O908" t="str">
        <f>IF(OR($N908&lt;EDA_Summary!$B$14,$N908&gt;EDA_Summary!$B$15), "Outlier", "Normal")</f>
        <v>Normal</v>
      </c>
      <c r="S908">
        <v>1</v>
      </c>
      <c r="T908">
        <v>62.12</v>
      </c>
      <c r="U908">
        <v>2</v>
      </c>
      <c r="V908">
        <v>62.12</v>
      </c>
    </row>
    <row r="909" spans="1:22" x14ac:dyDescent="0.25">
      <c r="A909" t="s">
        <v>3325</v>
      </c>
      <c r="B909" s="1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  <c r="O909" t="str">
        <f>IF(OR($N909&lt;EDA_Summary!$B$14,$N909&gt;EDA_Summary!$B$15), "Outlier", "Normal")</f>
        <v>Normal</v>
      </c>
      <c r="S909">
        <v>5</v>
      </c>
      <c r="T909">
        <v>298.39</v>
      </c>
      <c r="U909">
        <v>7</v>
      </c>
      <c r="V909">
        <v>1491.95</v>
      </c>
    </row>
    <row r="910" spans="1:22" x14ac:dyDescent="0.25">
      <c r="A910" t="s">
        <v>3328</v>
      </c>
      <c r="B910" s="1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  <c r="O910" t="str">
        <f>IF(OR($N910&lt;EDA_Summary!$B$14,$N910&gt;EDA_Summary!$B$15), "Outlier", "Normal")</f>
        <v>Normal</v>
      </c>
      <c r="S910">
        <v>2</v>
      </c>
      <c r="T910">
        <v>697.93</v>
      </c>
      <c r="U910">
        <v>2</v>
      </c>
      <c r="V910">
        <v>1395.86</v>
      </c>
    </row>
    <row r="911" spans="1:22" x14ac:dyDescent="0.25">
      <c r="A911" t="s">
        <v>3331</v>
      </c>
      <c r="B911" s="1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  <c r="O911" t="str">
        <f>IF(OR($N911&lt;EDA_Summary!$B$14,$N911&gt;EDA_Summary!$B$15), "Outlier", "Normal")</f>
        <v>Normal</v>
      </c>
      <c r="S911">
        <v>2</v>
      </c>
      <c r="T911">
        <v>291.85000000000002</v>
      </c>
      <c r="U911">
        <v>5</v>
      </c>
      <c r="V911">
        <v>583.70000000000005</v>
      </c>
    </row>
    <row r="912" spans="1:22" x14ac:dyDescent="0.25">
      <c r="A912" t="s">
        <v>3334</v>
      </c>
      <c r="B912" s="1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  <c r="O912" t="str">
        <f>IF(OR($N912&lt;EDA_Summary!$B$14,$N912&gt;EDA_Summary!$B$15), "Outlier", "Normal")</f>
        <v>Normal</v>
      </c>
      <c r="S912">
        <v>3</v>
      </c>
      <c r="T912">
        <v>308.98</v>
      </c>
      <c r="U912">
        <v>3</v>
      </c>
      <c r="V912">
        <v>926.94</v>
      </c>
    </row>
    <row r="913" spans="1:22" x14ac:dyDescent="0.25">
      <c r="A913" t="s">
        <v>3337</v>
      </c>
      <c r="B913" s="1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  <c r="O913" t="str">
        <f>IF(OR($N913&lt;EDA_Summary!$B$14,$N913&gt;EDA_Summary!$B$15), "Outlier", "Normal")</f>
        <v>Normal</v>
      </c>
      <c r="S913">
        <v>5</v>
      </c>
      <c r="T913">
        <v>396.86</v>
      </c>
      <c r="U913">
        <v>9</v>
      </c>
      <c r="V913">
        <v>1984.3</v>
      </c>
    </row>
    <row r="914" spans="1:22" x14ac:dyDescent="0.25">
      <c r="A914" t="s">
        <v>3340</v>
      </c>
      <c r="B914" s="1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  <c r="O914" t="str">
        <f>IF(OR($N914&lt;EDA_Summary!$B$14,$N914&gt;EDA_Summary!$B$15), "Outlier", "Normal")</f>
        <v>Normal</v>
      </c>
      <c r="S914">
        <v>2</v>
      </c>
      <c r="T914">
        <v>139.69</v>
      </c>
      <c r="U914">
        <v>7</v>
      </c>
      <c r="V914">
        <v>279.38</v>
      </c>
    </row>
    <row r="915" spans="1:22" x14ac:dyDescent="0.25">
      <c r="A915" t="s">
        <v>3343</v>
      </c>
      <c r="B915" s="1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  <c r="O915" t="str">
        <f>IF(OR($N915&lt;EDA_Summary!$B$14,$N915&gt;EDA_Summary!$B$15), "Outlier", "Normal")</f>
        <v>Normal</v>
      </c>
      <c r="S915">
        <v>5</v>
      </c>
      <c r="T915">
        <v>475.95</v>
      </c>
      <c r="U915">
        <v>8</v>
      </c>
      <c r="V915">
        <v>2379.75</v>
      </c>
    </row>
    <row r="916" spans="1:22" x14ac:dyDescent="0.25">
      <c r="A916" t="s">
        <v>3346</v>
      </c>
      <c r="B916" s="1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  <c r="O916" t="str">
        <f>IF(OR($N916&lt;EDA_Summary!$B$14,$N916&gt;EDA_Summary!$B$15), "Outlier", "Normal")</f>
        <v>Normal</v>
      </c>
      <c r="S916">
        <v>1</v>
      </c>
      <c r="T916">
        <v>626.6</v>
      </c>
      <c r="U916">
        <v>4</v>
      </c>
      <c r="V916">
        <v>626.6</v>
      </c>
    </row>
    <row r="917" spans="1:22" x14ac:dyDescent="0.25">
      <c r="A917" t="s">
        <v>3349</v>
      </c>
      <c r="B917" s="1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  <c r="O917" t="str">
        <f>IF(OR($N917&lt;EDA_Summary!$B$14,$N917&gt;EDA_Summary!$B$15), "Outlier", "Normal")</f>
        <v>Normal</v>
      </c>
      <c r="S917">
        <v>4</v>
      </c>
      <c r="T917">
        <v>502.99</v>
      </c>
      <c r="U917">
        <v>4</v>
      </c>
      <c r="V917">
        <v>2011.96</v>
      </c>
    </row>
    <row r="918" spans="1:22" x14ac:dyDescent="0.25">
      <c r="A918" t="s">
        <v>3353</v>
      </c>
      <c r="B918" s="1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  <c r="O918" t="str">
        <f>IF(OR($N918&lt;EDA_Summary!$B$14,$N918&gt;EDA_Summary!$B$15), "Outlier", "Normal")</f>
        <v>Normal</v>
      </c>
      <c r="S918">
        <v>5</v>
      </c>
      <c r="T918">
        <v>578.83000000000004</v>
      </c>
      <c r="U918">
        <v>6</v>
      </c>
      <c r="V918">
        <v>2894.15</v>
      </c>
    </row>
    <row r="919" spans="1:22" x14ac:dyDescent="0.25">
      <c r="A919" t="s">
        <v>3356</v>
      </c>
      <c r="B919" s="1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  <c r="O919" t="str">
        <f>IF(OR($N919&lt;EDA_Summary!$B$14,$N919&gt;EDA_Summary!$B$15), "Outlier", "Normal")</f>
        <v>Normal</v>
      </c>
      <c r="S919">
        <v>5</v>
      </c>
      <c r="T919">
        <v>383.82</v>
      </c>
      <c r="U919">
        <v>7</v>
      </c>
      <c r="V919">
        <v>1919.1</v>
      </c>
    </row>
    <row r="920" spans="1:22" x14ac:dyDescent="0.25">
      <c r="A920" t="s">
        <v>3360</v>
      </c>
      <c r="B920" s="1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  <c r="O920" t="str">
        <f>IF(OR($N920&lt;EDA_Summary!$B$14,$N920&gt;EDA_Summary!$B$15), "Outlier", "Normal")</f>
        <v>Normal</v>
      </c>
      <c r="S920">
        <v>5</v>
      </c>
      <c r="T920">
        <v>368.25</v>
      </c>
      <c r="U920">
        <v>5</v>
      </c>
      <c r="V920">
        <v>1841.25</v>
      </c>
    </row>
    <row r="921" spans="1:22" x14ac:dyDescent="0.25">
      <c r="A921" t="s">
        <v>3363</v>
      </c>
      <c r="B921" s="1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  <c r="O921" t="str">
        <f>IF(OR($N921&lt;EDA_Summary!$B$14,$N921&gt;EDA_Summary!$B$15), "Outlier", "Normal")</f>
        <v>Normal</v>
      </c>
      <c r="S921">
        <v>2</v>
      </c>
      <c r="T921">
        <v>374.6</v>
      </c>
      <c r="U921">
        <v>3</v>
      </c>
      <c r="V921">
        <v>749.2</v>
      </c>
    </row>
    <row r="922" spans="1:22" x14ac:dyDescent="0.25">
      <c r="A922" t="s">
        <v>3366</v>
      </c>
      <c r="B922" s="1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  <c r="O922" t="str">
        <f>IF(OR($N922&lt;EDA_Summary!$B$14,$N922&gt;EDA_Summary!$B$15), "Outlier", "Normal")</f>
        <v>Normal</v>
      </c>
      <c r="S922">
        <v>2</v>
      </c>
      <c r="T922">
        <v>428.09</v>
      </c>
      <c r="U922">
        <v>6</v>
      </c>
      <c r="V922">
        <v>856.18</v>
      </c>
    </row>
    <row r="923" spans="1:22" x14ac:dyDescent="0.25">
      <c r="A923" t="s">
        <v>3369</v>
      </c>
      <c r="B923" s="1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  <c r="O923" t="str">
        <f>IF(OR($N923&lt;EDA_Summary!$B$14,$N923&gt;EDA_Summary!$B$15), "Outlier", "Normal")</f>
        <v>Normal</v>
      </c>
      <c r="S923">
        <v>1</v>
      </c>
      <c r="T923">
        <v>438.93</v>
      </c>
      <c r="U923">
        <v>3</v>
      </c>
      <c r="V923">
        <v>438.93</v>
      </c>
    </row>
    <row r="924" spans="1:22" x14ac:dyDescent="0.25">
      <c r="A924" t="s">
        <v>3373</v>
      </c>
      <c r="B924" s="1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  <c r="O924" t="str">
        <f>IF(OR($N924&lt;EDA_Summary!$B$14,$N924&gt;EDA_Summary!$B$15), "Outlier", "Normal")</f>
        <v>Normal</v>
      </c>
      <c r="S924">
        <v>2</v>
      </c>
      <c r="T924">
        <v>563.82000000000005</v>
      </c>
      <c r="U924">
        <v>3</v>
      </c>
      <c r="V924">
        <v>1127.6400000000001</v>
      </c>
    </row>
    <row r="925" spans="1:22" x14ac:dyDescent="0.25">
      <c r="A925" t="s">
        <v>3377</v>
      </c>
      <c r="B925" s="1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  <c r="O925" t="str">
        <f>IF(OR($N925&lt;EDA_Summary!$B$14,$N925&gt;EDA_Summary!$B$15), "Outlier", "Normal")</f>
        <v>Normal</v>
      </c>
      <c r="S925">
        <v>3</v>
      </c>
      <c r="T925">
        <v>649.92999999999995</v>
      </c>
      <c r="U925">
        <v>7</v>
      </c>
      <c r="V925">
        <v>1949.79</v>
      </c>
    </row>
    <row r="926" spans="1:22" x14ac:dyDescent="0.25">
      <c r="A926" t="s">
        <v>3380</v>
      </c>
      <c r="B926" s="1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  <c r="O926" t="str">
        <f>IF(OR($N926&lt;EDA_Summary!$B$14,$N926&gt;EDA_Summary!$B$15), "Outlier", "Normal")</f>
        <v>Normal</v>
      </c>
      <c r="S926">
        <v>5</v>
      </c>
      <c r="T926">
        <v>268.43</v>
      </c>
      <c r="U926">
        <v>5</v>
      </c>
      <c r="V926">
        <v>1342.15</v>
      </c>
    </row>
    <row r="927" spans="1:22" x14ac:dyDescent="0.25">
      <c r="A927" t="s">
        <v>3383</v>
      </c>
      <c r="B927" s="1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  <c r="O927" t="str">
        <f>IF(OR($N927&lt;EDA_Summary!$B$14,$N927&gt;EDA_Summary!$B$15), "Outlier", "Normal")</f>
        <v>Normal</v>
      </c>
      <c r="S927">
        <v>5</v>
      </c>
      <c r="T927">
        <v>502.47</v>
      </c>
      <c r="U927">
        <v>10</v>
      </c>
      <c r="V927">
        <v>2512.35</v>
      </c>
    </row>
    <row r="928" spans="1:22" x14ac:dyDescent="0.25">
      <c r="A928" t="s">
        <v>3386</v>
      </c>
      <c r="B928" s="1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  <c r="O928" t="str">
        <f>IF(OR($N928&lt;EDA_Summary!$B$14,$N928&gt;EDA_Summary!$B$15), "Outlier", "Normal")</f>
        <v>Normal</v>
      </c>
      <c r="S928">
        <v>1</v>
      </c>
      <c r="T928">
        <v>26.95</v>
      </c>
      <c r="U928">
        <v>1</v>
      </c>
      <c r="V928">
        <v>26.95</v>
      </c>
    </row>
    <row r="929" spans="1:22" x14ac:dyDescent="0.25">
      <c r="A929" t="s">
        <v>3389</v>
      </c>
      <c r="B929" s="1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  <c r="O929" t="str">
        <f>IF(OR($N929&lt;EDA_Summary!$B$14,$N929&gt;EDA_Summary!$B$15), "Outlier", "Normal")</f>
        <v>Normal</v>
      </c>
      <c r="S929">
        <v>4</v>
      </c>
      <c r="T929">
        <v>64.69</v>
      </c>
      <c r="U929">
        <v>7</v>
      </c>
      <c r="V929">
        <v>258.76</v>
      </c>
    </row>
    <row r="930" spans="1:22" x14ac:dyDescent="0.25">
      <c r="A930" t="s">
        <v>3392</v>
      </c>
      <c r="B930" s="1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  <c r="O930" t="str">
        <f>IF(OR($N930&lt;EDA_Summary!$B$14,$N930&gt;EDA_Summary!$B$15), "Outlier", "Normal")</f>
        <v>Normal</v>
      </c>
      <c r="S930">
        <v>3</v>
      </c>
      <c r="T930">
        <v>247.11</v>
      </c>
      <c r="U930">
        <v>3</v>
      </c>
      <c r="V930">
        <v>741.33</v>
      </c>
    </row>
    <row r="931" spans="1:22" x14ac:dyDescent="0.25">
      <c r="A931" t="s">
        <v>3395</v>
      </c>
      <c r="B931" s="1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  <c r="O931" t="str">
        <f>IF(OR($N931&lt;EDA_Summary!$B$14,$N931&gt;EDA_Summary!$B$15), "Outlier", "Normal")</f>
        <v>Normal</v>
      </c>
      <c r="S931">
        <v>2</v>
      </c>
      <c r="T931">
        <v>536.25</v>
      </c>
      <c r="U931">
        <v>3</v>
      </c>
      <c r="V931">
        <v>1072.5</v>
      </c>
    </row>
    <row r="932" spans="1:22" x14ac:dyDescent="0.25">
      <c r="A932" t="s">
        <v>3398</v>
      </c>
      <c r="B932" s="1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  <c r="O932" t="str">
        <f>IF(OR($N932&lt;EDA_Summary!$B$14,$N932&gt;EDA_Summary!$B$15), "Outlier", "Normal")</f>
        <v>Normal</v>
      </c>
      <c r="S932">
        <v>2</v>
      </c>
      <c r="T932">
        <v>456.04</v>
      </c>
      <c r="U932">
        <v>4</v>
      </c>
      <c r="V932">
        <v>912.08</v>
      </c>
    </row>
    <row r="933" spans="1:22" x14ac:dyDescent="0.25">
      <c r="A933" t="s">
        <v>3401</v>
      </c>
      <c r="B933" s="1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  <c r="O933" t="str">
        <f>IF(OR($N933&lt;EDA_Summary!$B$14,$N933&gt;EDA_Summary!$B$15), "Outlier", "Normal")</f>
        <v>Normal</v>
      </c>
      <c r="S933">
        <v>2</v>
      </c>
      <c r="T933">
        <v>40.229999999999997</v>
      </c>
      <c r="U933">
        <v>4</v>
      </c>
      <c r="V933">
        <v>80.459999999999994</v>
      </c>
    </row>
    <row r="934" spans="1:22" x14ac:dyDescent="0.25">
      <c r="A934" t="s">
        <v>3404</v>
      </c>
      <c r="B934" s="1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  <c r="O934" t="str">
        <f>IF(OR($N934&lt;EDA_Summary!$B$14,$N934&gt;EDA_Summary!$B$15), "Outlier", "Normal")</f>
        <v>Normal</v>
      </c>
      <c r="S934">
        <v>2</v>
      </c>
      <c r="T934">
        <v>72.39</v>
      </c>
      <c r="U934">
        <v>7</v>
      </c>
      <c r="V934">
        <v>144.78</v>
      </c>
    </row>
    <row r="935" spans="1:22" x14ac:dyDescent="0.25">
      <c r="A935" t="s">
        <v>3408</v>
      </c>
      <c r="B935" s="1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  <c r="O935" t="str">
        <f>IF(OR($N935&lt;EDA_Summary!$B$14,$N935&gt;EDA_Summary!$B$15), "Outlier", "Normal")</f>
        <v>Normal</v>
      </c>
      <c r="S935">
        <v>2</v>
      </c>
      <c r="T935">
        <v>394.16</v>
      </c>
      <c r="U935">
        <v>2</v>
      </c>
      <c r="V935">
        <v>788.32</v>
      </c>
    </row>
    <row r="936" spans="1:22" x14ac:dyDescent="0.25">
      <c r="A936" t="s">
        <v>3411</v>
      </c>
      <c r="B936" s="1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  <c r="O936" t="str">
        <f>IF(OR($N936&lt;EDA_Summary!$B$14,$N936&gt;EDA_Summary!$B$15), "Outlier", "Normal")</f>
        <v>Normal</v>
      </c>
      <c r="S936">
        <v>4</v>
      </c>
      <c r="T936">
        <v>119.84</v>
      </c>
      <c r="U936">
        <v>8</v>
      </c>
      <c r="V936">
        <v>479.36</v>
      </c>
    </row>
    <row r="937" spans="1:22" x14ac:dyDescent="0.25">
      <c r="A937" t="s">
        <v>3414</v>
      </c>
      <c r="B937" s="1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  <c r="O937" t="str">
        <f>IF(OR($N937&lt;EDA_Summary!$B$14,$N937&gt;EDA_Summary!$B$15), "Outlier", "Normal")</f>
        <v>Normal</v>
      </c>
      <c r="S937">
        <v>3</v>
      </c>
      <c r="T937">
        <v>692.71</v>
      </c>
      <c r="U937">
        <v>3</v>
      </c>
      <c r="V937">
        <v>2078.13</v>
      </c>
    </row>
    <row r="938" spans="1:22" x14ac:dyDescent="0.25">
      <c r="A938" t="s">
        <v>3417</v>
      </c>
      <c r="B938" s="1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  <c r="O938" t="str">
        <f>IF(OR($N938&lt;EDA_Summary!$B$14,$N938&gt;EDA_Summary!$B$15), "Outlier", "Normal")</f>
        <v>Normal</v>
      </c>
      <c r="S938">
        <v>4</v>
      </c>
      <c r="T938">
        <v>56.66</v>
      </c>
      <c r="U938">
        <v>4</v>
      </c>
      <c r="V938">
        <v>226.64</v>
      </c>
    </row>
    <row r="939" spans="1:22" x14ac:dyDescent="0.25">
      <c r="A939" t="s">
        <v>3420</v>
      </c>
      <c r="B939" s="1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  <c r="O939" t="str">
        <f>IF(OR($N939&lt;EDA_Summary!$B$14,$N939&gt;EDA_Summary!$B$15), "Outlier", "Normal")</f>
        <v>Normal</v>
      </c>
      <c r="S939">
        <v>2</v>
      </c>
      <c r="T939">
        <v>298.52999999999997</v>
      </c>
      <c r="U939">
        <v>5</v>
      </c>
      <c r="V939">
        <v>597.05999999999995</v>
      </c>
    </row>
    <row r="940" spans="1:22" x14ac:dyDescent="0.25">
      <c r="A940" t="s">
        <v>3423</v>
      </c>
      <c r="B940" s="1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  <c r="O940" t="str">
        <f>IF(OR($N940&lt;EDA_Summary!$B$14,$N940&gt;EDA_Summary!$B$15), "Outlier", "Normal")</f>
        <v>Normal</v>
      </c>
      <c r="S940">
        <v>3</v>
      </c>
      <c r="T940">
        <v>331.46</v>
      </c>
      <c r="U940">
        <v>6</v>
      </c>
      <c r="V940">
        <v>994.37999999999988</v>
      </c>
    </row>
    <row r="941" spans="1:22" x14ac:dyDescent="0.25">
      <c r="A941" t="s">
        <v>3426</v>
      </c>
      <c r="B941" s="1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  <c r="O941" t="str">
        <f>IF(OR($N941&lt;EDA_Summary!$B$14,$N941&gt;EDA_Summary!$B$15), "Outlier", "Normal")</f>
        <v>Normal</v>
      </c>
      <c r="S941">
        <v>2</v>
      </c>
      <c r="T941">
        <v>521.4</v>
      </c>
      <c r="U941">
        <v>7</v>
      </c>
      <c r="V941">
        <v>1042.8</v>
      </c>
    </row>
    <row r="942" spans="1:22" x14ac:dyDescent="0.25">
      <c r="A942" t="s">
        <v>3430</v>
      </c>
      <c r="B942" s="1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  <c r="O942" t="str">
        <f>IF(OR($N942&lt;EDA_Summary!$B$14,$N942&gt;EDA_Summary!$B$15), "Outlier", "Normal")</f>
        <v>Normal</v>
      </c>
      <c r="S942">
        <v>4</v>
      </c>
      <c r="T942">
        <v>305.32</v>
      </c>
      <c r="U942">
        <v>4</v>
      </c>
      <c r="V942">
        <v>1221.28</v>
      </c>
    </row>
    <row r="943" spans="1:22" x14ac:dyDescent="0.25">
      <c r="A943" t="s">
        <v>3434</v>
      </c>
      <c r="B943" s="1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  <c r="O943" t="str">
        <f>IF(OR($N943&lt;EDA_Summary!$B$14,$N943&gt;EDA_Summary!$B$15), "Outlier", "Normal")</f>
        <v>Normal</v>
      </c>
      <c r="S943">
        <v>5</v>
      </c>
      <c r="T943">
        <v>111.7</v>
      </c>
      <c r="U943">
        <v>9</v>
      </c>
      <c r="V943">
        <v>558.5</v>
      </c>
    </row>
    <row r="944" spans="1:22" x14ac:dyDescent="0.25">
      <c r="A944" t="s">
        <v>3436</v>
      </c>
      <c r="B944" s="1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  <c r="O944" t="str">
        <f>IF(OR($N944&lt;EDA_Summary!$B$14,$N944&gt;EDA_Summary!$B$15), "Outlier", "Normal")</f>
        <v>Normal</v>
      </c>
      <c r="S944">
        <v>1</v>
      </c>
      <c r="T944">
        <v>479.76</v>
      </c>
      <c r="U944">
        <v>1</v>
      </c>
      <c r="V944">
        <v>479.76</v>
      </c>
    </row>
    <row r="945" spans="1:22" x14ac:dyDescent="0.25">
      <c r="A945" t="s">
        <v>3439</v>
      </c>
      <c r="B945" s="1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  <c r="O945" t="str">
        <f>IF(OR($N945&lt;EDA_Summary!$B$14,$N945&gt;EDA_Summary!$B$15), "Outlier", "Normal")</f>
        <v>Normal</v>
      </c>
      <c r="S945">
        <v>3</v>
      </c>
      <c r="T945">
        <v>193.49</v>
      </c>
      <c r="U945">
        <v>6</v>
      </c>
      <c r="V945">
        <v>580.47</v>
      </c>
    </row>
    <row r="946" spans="1:22" x14ac:dyDescent="0.25">
      <c r="A946" t="s">
        <v>3443</v>
      </c>
      <c r="B946" s="1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  <c r="O946" t="str">
        <f>IF(OR($N946&lt;EDA_Summary!$B$14,$N946&gt;EDA_Summary!$B$15), "Outlier", "Normal")</f>
        <v>Normal</v>
      </c>
      <c r="S946">
        <v>2</v>
      </c>
      <c r="T946">
        <v>426.22</v>
      </c>
      <c r="U946">
        <v>7</v>
      </c>
      <c r="V946">
        <v>852.44</v>
      </c>
    </row>
    <row r="947" spans="1:22" x14ac:dyDescent="0.25">
      <c r="A947" t="s">
        <v>3446</v>
      </c>
      <c r="B947" s="1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  <c r="O947" t="str">
        <f>IF(OR($N947&lt;EDA_Summary!$B$14,$N947&gt;EDA_Summary!$B$15), "Outlier", "Normal")</f>
        <v>Normal</v>
      </c>
      <c r="S947">
        <v>5</v>
      </c>
      <c r="T947">
        <v>276.44</v>
      </c>
      <c r="U947">
        <v>10</v>
      </c>
      <c r="V947">
        <v>1382.2</v>
      </c>
    </row>
    <row r="948" spans="1:22" x14ac:dyDescent="0.25">
      <c r="A948" t="s">
        <v>3449</v>
      </c>
      <c r="B948" s="1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  <c r="O948" t="str">
        <f>IF(OR($N948&lt;EDA_Summary!$B$14,$N948&gt;EDA_Summary!$B$15), "Outlier", "Normal")</f>
        <v>Normal</v>
      </c>
      <c r="S948">
        <v>2</v>
      </c>
      <c r="T948">
        <v>404.96</v>
      </c>
      <c r="U948">
        <v>4</v>
      </c>
      <c r="V948">
        <v>809.92</v>
      </c>
    </row>
    <row r="949" spans="1:22" x14ac:dyDescent="0.25">
      <c r="A949" t="s">
        <v>3452</v>
      </c>
      <c r="B949" s="1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  <c r="O949" t="str">
        <f>IF(OR($N949&lt;EDA_Summary!$B$14,$N949&gt;EDA_Summary!$B$15), "Outlier", "Normal")</f>
        <v>Normal</v>
      </c>
      <c r="S949">
        <v>4</v>
      </c>
      <c r="T949">
        <v>465.66</v>
      </c>
      <c r="U949">
        <v>9</v>
      </c>
      <c r="V949">
        <v>1862.64</v>
      </c>
    </row>
    <row r="950" spans="1:22" x14ac:dyDescent="0.25">
      <c r="A950" t="s">
        <v>3455</v>
      </c>
      <c r="B950" s="1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  <c r="O950" t="str">
        <f>IF(OR($N950&lt;EDA_Summary!$B$14,$N950&gt;EDA_Summary!$B$15), "Outlier", "Normal")</f>
        <v>Normal</v>
      </c>
      <c r="S950">
        <v>2</v>
      </c>
      <c r="T950">
        <v>594.07000000000005</v>
      </c>
      <c r="U950">
        <v>2</v>
      </c>
      <c r="V950">
        <v>1188.1400000000001</v>
      </c>
    </row>
    <row r="951" spans="1:22" x14ac:dyDescent="0.25">
      <c r="A951" t="s">
        <v>3457</v>
      </c>
      <c r="B951" s="1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  <c r="O951" t="str">
        <f>IF(OR($N951&lt;EDA_Summary!$B$14,$N951&gt;EDA_Summary!$B$15), "Outlier", "Normal")</f>
        <v>Normal</v>
      </c>
      <c r="S951">
        <v>5</v>
      </c>
      <c r="T951">
        <v>110.38</v>
      </c>
      <c r="U951">
        <v>10</v>
      </c>
      <c r="V951">
        <v>551.9</v>
      </c>
    </row>
    <row r="952" spans="1:22" x14ac:dyDescent="0.25">
      <c r="A952" t="s">
        <v>3460</v>
      </c>
      <c r="B952" s="1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  <c r="O952" t="str">
        <f>IF(OR($N952&lt;EDA_Summary!$B$14,$N952&gt;EDA_Summary!$B$15), "Outlier", "Normal")</f>
        <v>Normal</v>
      </c>
      <c r="S952">
        <v>1</v>
      </c>
      <c r="T952">
        <v>596.24</v>
      </c>
      <c r="U952">
        <v>4</v>
      </c>
      <c r="V952">
        <v>596.24</v>
      </c>
    </row>
    <row r="953" spans="1:22" x14ac:dyDescent="0.25">
      <c r="A953" t="s">
        <v>3463</v>
      </c>
      <c r="B953" s="1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  <c r="O953" t="str">
        <f>IF(OR($N953&lt;EDA_Summary!$B$14,$N953&gt;EDA_Summary!$B$15), "Outlier", "Normal")</f>
        <v>Normal</v>
      </c>
      <c r="S953">
        <v>2</v>
      </c>
      <c r="T953">
        <v>306.24</v>
      </c>
      <c r="U953">
        <v>4</v>
      </c>
      <c r="V953">
        <v>612.48</v>
      </c>
    </row>
    <row r="954" spans="1:22" x14ac:dyDescent="0.25">
      <c r="A954" t="s">
        <v>3466</v>
      </c>
      <c r="B954" s="1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  <c r="O954" t="str">
        <f>IF(OR($N954&lt;EDA_Summary!$B$14,$N954&gt;EDA_Summary!$B$15), "Outlier", "Normal")</f>
        <v>Normal</v>
      </c>
      <c r="S954">
        <v>3</v>
      </c>
      <c r="T954">
        <v>503.39</v>
      </c>
      <c r="U954">
        <v>5</v>
      </c>
      <c r="V954">
        <v>1510.17</v>
      </c>
    </row>
    <row r="955" spans="1:22" x14ac:dyDescent="0.25">
      <c r="A955" t="s">
        <v>3470</v>
      </c>
      <c r="B955" s="1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  <c r="O955" t="str">
        <f>IF(OR($N955&lt;EDA_Summary!$B$14,$N955&gt;EDA_Summary!$B$15), "Outlier", "Normal")</f>
        <v>Normal</v>
      </c>
      <c r="S955">
        <v>1</v>
      </c>
      <c r="T955">
        <v>131.61000000000001</v>
      </c>
      <c r="U955">
        <v>2</v>
      </c>
      <c r="V955">
        <v>131.61000000000001</v>
      </c>
    </row>
    <row r="956" spans="1:22" x14ac:dyDescent="0.25">
      <c r="A956" t="s">
        <v>3473</v>
      </c>
      <c r="B956" s="1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  <c r="O956" t="str">
        <f>IF(OR($N956&lt;EDA_Summary!$B$14,$N956&gt;EDA_Summary!$B$15), "Outlier", "Normal")</f>
        <v>Normal</v>
      </c>
      <c r="S956">
        <v>3</v>
      </c>
      <c r="T956">
        <v>443.44</v>
      </c>
      <c r="U956">
        <v>3</v>
      </c>
      <c r="V956">
        <v>1330.32</v>
      </c>
    </row>
    <row r="957" spans="1:22" x14ac:dyDescent="0.25">
      <c r="A957" t="s">
        <v>3476</v>
      </c>
      <c r="B957" s="1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  <c r="O957" t="str">
        <f>IF(OR($N957&lt;EDA_Summary!$B$14,$N957&gt;EDA_Summary!$B$15), "Outlier", "Normal")</f>
        <v>Normal</v>
      </c>
      <c r="S957">
        <v>1</v>
      </c>
      <c r="T957">
        <v>408.13</v>
      </c>
      <c r="U957">
        <v>3</v>
      </c>
      <c r="V957">
        <v>408.13</v>
      </c>
    </row>
    <row r="958" spans="1:22" x14ac:dyDescent="0.25">
      <c r="A958" t="s">
        <v>3479</v>
      </c>
      <c r="B958" s="1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  <c r="O958" t="str">
        <f>IF(OR($N958&lt;EDA_Summary!$B$14,$N958&gt;EDA_Summary!$B$15), "Outlier", "Normal")</f>
        <v>Normal</v>
      </c>
      <c r="S958">
        <v>2</v>
      </c>
      <c r="T958">
        <v>160.97999999999999</v>
      </c>
      <c r="U958">
        <v>3</v>
      </c>
      <c r="V958">
        <v>321.95999999999998</v>
      </c>
    </row>
    <row r="959" spans="1:22" x14ac:dyDescent="0.25">
      <c r="A959" t="s">
        <v>3482</v>
      </c>
      <c r="B959" s="1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  <c r="O959" t="str">
        <f>IF(OR($N959&lt;EDA_Summary!$B$14,$N959&gt;EDA_Summary!$B$15), "Outlier", "Normal")</f>
        <v>Normal</v>
      </c>
      <c r="S959">
        <v>5</v>
      </c>
      <c r="T959">
        <v>643.89</v>
      </c>
      <c r="U959">
        <v>8</v>
      </c>
      <c r="V959">
        <v>3219.45</v>
      </c>
    </row>
    <row r="960" spans="1:22" x14ac:dyDescent="0.25">
      <c r="A960" t="s">
        <v>3486</v>
      </c>
      <c r="B960" s="1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  <c r="O960" t="str">
        <f>IF(OR($N960&lt;EDA_Summary!$B$14,$N960&gt;EDA_Summary!$B$15), "Outlier", "Normal")</f>
        <v>Normal</v>
      </c>
      <c r="S960">
        <v>3</v>
      </c>
      <c r="T960">
        <v>158.66</v>
      </c>
      <c r="U960">
        <v>7</v>
      </c>
      <c r="V960">
        <v>475.98</v>
      </c>
    </row>
    <row r="961" spans="1:22" x14ac:dyDescent="0.25">
      <c r="A961" t="s">
        <v>3489</v>
      </c>
      <c r="B961" s="1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  <c r="O961" t="str">
        <f>IF(OR($N961&lt;EDA_Summary!$B$14,$N961&gt;EDA_Summary!$B$15), "Outlier", "Normal")</f>
        <v>Normal</v>
      </c>
      <c r="S961">
        <v>2</v>
      </c>
      <c r="T961">
        <v>143.82</v>
      </c>
      <c r="U961">
        <v>6</v>
      </c>
      <c r="V961">
        <v>287.64</v>
      </c>
    </row>
    <row r="962" spans="1:22" x14ac:dyDescent="0.25">
      <c r="A962" t="s">
        <v>3492</v>
      </c>
      <c r="B962" s="1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  <c r="O962" t="str">
        <f>IF(OR($N962&lt;EDA_Summary!$B$14,$N962&gt;EDA_Summary!$B$15), "Outlier", "Normal")</f>
        <v>Normal</v>
      </c>
      <c r="S962">
        <v>3</v>
      </c>
      <c r="T962">
        <v>379.07</v>
      </c>
      <c r="U962">
        <v>3</v>
      </c>
      <c r="V962">
        <v>1137.21</v>
      </c>
    </row>
    <row r="963" spans="1:22" x14ac:dyDescent="0.25">
      <c r="A963" t="s">
        <v>3495</v>
      </c>
      <c r="B963" s="1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  <c r="O963" t="str">
        <f>IF(OR($N963&lt;EDA_Summary!$B$14,$N963&gt;EDA_Summary!$B$15), "Outlier", "Normal")</f>
        <v>Normal</v>
      </c>
      <c r="S963">
        <v>1</v>
      </c>
      <c r="T963">
        <v>601.36</v>
      </c>
      <c r="U963">
        <v>1</v>
      </c>
      <c r="V963">
        <v>601.36</v>
      </c>
    </row>
    <row r="964" spans="1:22" x14ac:dyDescent="0.25">
      <c r="A964" t="s">
        <v>3498</v>
      </c>
      <c r="B964" s="1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  <c r="O964" t="str">
        <f>IF(OR($N964&lt;EDA_Summary!$B$14,$N964&gt;EDA_Summary!$B$15), "Outlier", "Normal")</f>
        <v>Normal</v>
      </c>
      <c r="S964">
        <v>2</v>
      </c>
      <c r="T964">
        <v>142.08000000000001</v>
      </c>
      <c r="U964">
        <v>4</v>
      </c>
      <c r="V964">
        <v>284.16000000000003</v>
      </c>
    </row>
    <row r="965" spans="1:22" x14ac:dyDescent="0.25">
      <c r="A965" t="s">
        <v>3501</v>
      </c>
      <c r="B965" s="1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  <c r="O965" t="str">
        <f>IF(OR($N965&lt;EDA_Summary!$B$14,$N965&gt;EDA_Summary!$B$15), "Outlier", "Normal")</f>
        <v>Normal</v>
      </c>
      <c r="S965">
        <v>5</v>
      </c>
      <c r="T965">
        <v>530.34</v>
      </c>
      <c r="U965">
        <v>9</v>
      </c>
      <c r="V965">
        <v>2651.7</v>
      </c>
    </row>
    <row r="966" spans="1:22" x14ac:dyDescent="0.25">
      <c r="A966" t="s">
        <v>3504</v>
      </c>
      <c r="B966" s="1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  <c r="O966" t="str">
        <f>IF(OR($N966&lt;EDA_Summary!$B$14,$N966&gt;EDA_Summary!$B$15), "Outlier", "Normal")</f>
        <v>Normal</v>
      </c>
      <c r="S966">
        <v>5</v>
      </c>
      <c r="T966">
        <v>364.42</v>
      </c>
      <c r="U966">
        <v>10</v>
      </c>
      <c r="V966">
        <v>1822.1</v>
      </c>
    </row>
    <row r="967" spans="1:22" x14ac:dyDescent="0.25">
      <c r="A967" t="s">
        <v>3507</v>
      </c>
      <c r="B967" s="1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  <c r="O967" t="str">
        <f>IF(OR($N967&lt;EDA_Summary!$B$14,$N967&gt;EDA_Summary!$B$15), "Outlier", "Normal")</f>
        <v>Normal</v>
      </c>
      <c r="S967">
        <v>4</v>
      </c>
      <c r="T967">
        <v>578.28</v>
      </c>
      <c r="U967">
        <v>5</v>
      </c>
      <c r="V967">
        <v>2313.12</v>
      </c>
    </row>
    <row r="968" spans="1:22" x14ac:dyDescent="0.25">
      <c r="A968" t="s">
        <v>3510</v>
      </c>
      <c r="B968" s="1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  <c r="O968" t="str">
        <f>IF(OR($N968&lt;EDA_Summary!$B$14,$N968&gt;EDA_Summary!$B$15), "Outlier", "Normal")</f>
        <v>Normal</v>
      </c>
      <c r="S968">
        <v>5</v>
      </c>
      <c r="T968">
        <v>280.52</v>
      </c>
      <c r="U968">
        <v>7</v>
      </c>
      <c r="V968">
        <v>1402.6</v>
      </c>
    </row>
    <row r="969" spans="1:22" x14ac:dyDescent="0.25">
      <c r="A969" t="s">
        <v>3514</v>
      </c>
      <c r="B969" s="1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  <c r="O969" t="str">
        <f>IF(OR($N969&lt;EDA_Summary!$B$14,$N969&gt;EDA_Summary!$B$15), "Outlier", "Normal")</f>
        <v>Normal</v>
      </c>
      <c r="S969">
        <v>5</v>
      </c>
      <c r="T969">
        <v>638.91999999999996</v>
      </c>
      <c r="U969">
        <v>5</v>
      </c>
      <c r="V969">
        <v>3194.6</v>
      </c>
    </row>
    <row r="970" spans="1:22" x14ac:dyDescent="0.25">
      <c r="A970" t="s">
        <v>3518</v>
      </c>
      <c r="B970" s="1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  <c r="O970" t="str">
        <f>IF(OR($N970&lt;EDA_Summary!$B$14,$N970&gt;EDA_Summary!$B$15), "Outlier", "Normal")</f>
        <v>Normal</v>
      </c>
      <c r="S970">
        <v>4</v>
      </c>
      <c r="T970">
        <v>412.2</v>
      </c>
      <c r="U970">
        <v>6</v>
      </c>
      <c r="V970">
        <v>1648.8</v>
      </c>
    </row>
    <row r="971" spans="1:22" x14ac:dyDescent="0.25">
      <c r="A971" t="s">
        <v>3521</v>
      </c>
      <c r="B971" s="1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  <c r="O971" t="str">
        <f>IF(OR($N971&lt;EDA_Summary!$B$14,$N971&gt;EDA_Summary!$B$15), "Outlier", "Normal")</f>
        <v>Normal</v>
      </c>
      <c r="S971">
        <v>1</v>
      </c>
      <c r="T971">
        <v>440.34</v>
      </c>
      <c r="U971">
        <v>2</v>
      </c>
      <c r="V971">
        <v>440.34</v>
      </c>
    </row>
    <row r="972" spans="1:22" x14ac:dyDescent="0.25">
      <c r="A972" t="s">
        <v>3525</v>
      </c>
      <c r="B972" s="1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  <c r="O972" t="str">
        <f>IF(OR($N972&lt;EDA_Summary!$B$14,$N972&gt;EDA_Summary!$B$15), "Outlier", "Normal")</f>
        <v>Normal</v>
      </c>
      <c r="S972">
        <v>1</v>
      </c>
      <c r="T972">
        <v>627.15</v>
      </c>
      <c r="U972">
        <v>5</v>
      </c>
      <c r="V972">
        <v>627.15</v>
      </c>
    </row>
    <row r="973" spans="1:22" x14ac:dyDescent="0.25">
      <c r="A973" t="s">
        <v>3529</v>
      </c>
      <c r="B973" s="1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  <c r="O973" t="str">
        <f>IF(OR($N973&lt;EDA_Summary!$B$14,$N973&gt;EDA_Summary!$B$15), "Outlier", "Normal")</f>
        <v>Normal</v>
      </c>
      <c r="S973">
        <v>2</v>
      </c>
      <c r="T973">
        <v>605.26</v>
      </c>
      <c r="U973">
        <v>4</v>
      </c>
      <c r="V973">
        <v>1210.52</v>
      </c>
    </row>
    <row r="974" spans="1:22" x14ac:dyDescent="0.25">
      <c r="A974" t="s">
        <v>3532</v>
      </c>
      <c r="B974" s="1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  <c r="O974" t="str">
        <f>IF(OR($N974&lt;EDA_Summary!$B$14,$N974&gt;EDA_Summary!$B$15), "Outlier", "Normal")</f>
        <v>Normal</v>
      </c>
      <c r="S974">
        <v>1</v>
      </c>
      <c r="T974">
        <v>90.27</v>
      </c>
      <c r="U974">
        <v>5</v>
      </c>
      <c r="V974">
        <v>90.27</v>
      </c>
    </row>
    <row r="975" spans="1:22" x14ac:dyDescent="0.25">
      <c r="A975" t="s">
        <v>3536</v>
      </c>
      <c r="B975" s="1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  <c r="O975" t="str">
        <f>IF(OR($N975&lt;EDA_Summary!$B$14,$N975&gt;EDA_Summary!$B$15), "Outlier", "Normal")</f>
        <v>Normal</v>
      </c>
      <c r="S975">
        <v>5</v>
      </c>
      <c r="T975">
        <v>230.77</v>
      </c>
      <c r="U975">
        <v>10</v>
      </c>
      <c r="V975">
        <v>1153.8499999999999</v>
      </c>
    </row>
    <row r="976" spans="1:22" x14ac:dyDescent="0.25">
      <c r="A976" t="s">
        <v>3539</v>
      </c>
      <c r="B976" s="1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  <c r="O976" t="str">
        <f>IF(OR($N976&lt;EDA_Summary!$B$14,$N976&gt;EDA_Summary!$B$15), "Outlier", "Normal")</f>
        <v>Normal</v>
      </c>
      <c r="S976">
        <v>5</v>
      </c>
      <c r="T976">
        <v>266.77999999999997</v>
      </c>
      <c r="U976">
        <v>5</v>
      </c>
      <c r="V976">
        <v>1333.9</v>
      </c>
    </row>
    <row r="977" spans="1:22" x14ac:dyDescent="0.25">
      <c r="A977" t="s">
        <v>3542</v>
      </c>
      <c r="B977" s="1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  <c r="O977" t="str">
        <f>IF(OR($N977&lt;EDA_Summary!$B$14,$N977&gt;EDA_Summary!$B$15), "Outlier", "Normal")</f>
        <v>Normal</v>
      </c>
      <c r="S977">
        <v>1</v>
      </c>
      <c r="T977">
        <v>105.92</v>
      </c>
      <c r="U977">
        <v>6</v>
      </c>
      <c r="V977">
        <v>105.92</v>
      </c>
    </row>
    <row r="978" spans="1:22" x14ac:dyDescent="0.25">
      <c r="A978" t="s">
        <v>3545</v>
      </c>
      <c r="B978" s="1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  <c r="O978" t="str">
        <f>IF(OR($N978&lt;EDA_Summary!$B$14,$N978&gt;EDA_Summary!$B$15), "Outlier", "Normal")</f>
        <v>Normal</v>
      </c>
      <c r="S978">
        <v>3</v>
      </c>
      <c r="T978">
        <v>589.29999999999995</v>
      </c>
      <c r="U978">
        <v>6</v>
      </c>
      <c r="V978">
        <v>1767.9</v>
      </c>
    </row>
    <row r="979" spans="1:22" x14ac:dyDescent="0.25">
      <c r="A979" t="s">
        <v>3548</v>
      </c>
      <c r="B979" s="1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  <c r="O979" t="str">
        <f>IF(OR($N979&lt;EDA_Summary!$B$14,$N979&gt;EDA_Summary!$B$15), "Outlier", "Normal")</f>
        <v>Normal</v>
      </c>
      <c r="S979">
        <v>4</v>
      </c>
      <c r="T979">
        <v>649.47</v>
      </c>
      <c r="U979">
        <v>8</v>
      </c>
      <c r="V979">
        <v>2597.88</v>
      </c>
    </row>
    <row r="980" spans="1:22" x14ac:dyDescent="0.25">
      <c r="A980" t="s">
        <v>3552</v>
      </c>
      <c r="B980" s="1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  <c r="O980" t="str">
        <f>IF(OR($N980&lt;EDA_Summary!$B$14,$N980&gt;EDA_Summary!$B$15), "Outlier", "Normal")</f>
        <v>Normal</v>
      </c>
      <c r="S980">
        <v>4</v>
      </c>
      <c r="T980">
        <v>107.49</v>
      </c>
      <c r="U980">
        <v>5</v>
      </c>
      <c r="V980">
        <v>429.96</v>
      </c>
    </row>
    <row r="981" spans="1:22" x14ac:dyDescent="0.25">
      <c r="A981" t="s">
        <v>3555</v>
      </c>
      <c r="B981" s="1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  <c r="O981" t="str">
        <f>IF(OR($N981&lt;EDA_Summary!$B$14,$N981&gt;EDA_Summary!$B$15), "Outlier", "Normal")</f>
        <v>Normal</v>
      </c>
      <c r="S981">
        <v>3</v>
      </c>
      <c r="T981">
        <v>669.06</v>
      </c>
      <c r="U981">
        <v>7</v>
      </c>
      <c r="V981">
        <v>2007.18</v>
      </c>
    </row>
    <row r="982" spans="1:22" x14ac:dyDescent="0.25">
      <c r="A982" t="s">
        <v>3558</v>
      </c>
      <c r="B982" s="1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  <c r="O982" t="str">
        <f>IF(OR($N982&lt;EDA_Summary!$B$14,$N982&gt;EDA_Summary!$B$15), "Outlier", "Normal")</f>
        <v>Normal</v>
      </c>
      <c r="S982">
        <v>3</v>
      </c>
      <c r="T982">
        <v>69.650000000000006</v>
      </c>
      <c r="U982">
        <v>7</v>
      </c>
      <c r="V982">
        <v>208.95</v>
      </c>
    </row>
    <row r="983" spans="1:22" x14ac:dyDescent="0.25">
      <c r="A983" t="s">
        <v>3562</v>
      </c>
      <c r="B983" s="1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  <c r="O983" t="str">
        <f>IF(OR($N983&lt;EDA_Summary!$B$14,$N983&gt;EDA_Summary!$B$15), "Outlier", "Normal")</f>
        <v>Normal</v>
      </c>
      <c r="S983">
        <v>4</v>
      </c>
      <c r="T983">
        <v>136.83000000000001</v>
      </c>
      <c r="U983">
        <v>8</v>
      </c>
      <c r="V983">
        <v>547.32000000000005</v>
      </c>
    </row>
    <row r="984" spans="1:22" x14ac:dyDescent="0.25">
      <c r="A984" t="s">
        <v>3566</v>
      </c>
      <c r="B984" s="1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  <c r="O984" t="str">
        <f>IF(OR($N984&lt;EDA_Summary!$B$14,$N984&gt;EDA_Summary!$B$15), "Outlier", "Normal")</f>
        <v>Normal</v>
      </c>
      <c r="S984">
        <v>1</v>
      </c>
      <c r="T984">
        <v>304.11</v>
      </c>
      <c r="U984">
        <v>2</v>
      </c>
      <c r="V984">
        <v>304.11</v>
      </c>
    </row>
    <row r="985" spans="1:22" x14ac:dyDescent="0.25">
      <c r="A985" t="s">
        <v>3569</v>
      </c>
      <c r="B985" s="1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  <c r="O985" t="str">
        <f>IF(OR($N985&lt;EDA_Summary!$B$14,$N985&gt;EDA_Summary!$B$15), "Outlier", "Normal")</f>
        <v>Normal</v>
      </c>
      <c r="S985">
        <v>4</v>
      </c>
      <c r="T985">
        <v>296.27999999999997</v>
      </c>
      <c r="U985">
        <v>5</v>
      </c>
      <c r="V985">
        <v>1185.1199999999999</v>
      </c>
    </row>
    <row r="986" spans="1:22" x14ac:dyDescent="0.25">
      <c r="A986" t="s">
        <v>3573</v>
      </c>
      <c r="B986" s="1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  <c r="O986" t="str">
        <f>IF(OR($N986&lt;EDA_Summary!$B$14,$N986&gt;EDA_Summary!$B$15), "Outlier", "Normal")</f>
        <v>Normal</v>
      </c>
      <c r="S986">
        <v>1</v>
      </c>
      <c r="T986">
        <v>77.64</v>
      </c>
      <c r="U986">
        <v>1</v>
      </c>
      <c r="V986">
        <v>77.64</v>
      </c>
    </row>
    <row r="987" spans="1:22" x14ac:dyDescent="0.25">
      <c r="A987" t="s">
        <v>3576</v>
      </c>
      <c r="B987" s="1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  <c r="O987" t="str">
        <f>IF(OR($N987&lt;EDA_Summary!$B$14,$N987&gt;EDA_Summary!$B$15), "Outlier", "Normal")</f>
        <v>Normal</v>
      </c>
      <c r="S987">
        <v>1</v>
      </c>
      <c r="T987">
        <v>243.71</v>
      </c>
      <c r="U987">
        <v>6</v>
      </c>
      <c r="V987">
        <v>243.71</v>
      </c>
    </row>
    <row r="988" spans="1:22" x14ac:dyDescent="0.25">
      <c r="A988" t="s">
        <v>3579</v>
      </c>
      <c r="B988" s="1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  <c r="O988" t="str">
        <f>IF(OR($N988&lt;EDA_Summary!$B$14,$N988&gt;EDA_Summary!$B$15), "Outlier", "Normal")</f>
        <v>Normal</v>
      </c>
      <c r="S988">
        <v>4</v>
      </c>
      <c r="T988">
        <v>644.96</v>
      </c>
      <c r="U988">
        <v>7</v>
      </c>
      <c r="V988">
        <v>2579.84</v>
      </c>
    </row>
    <row r="989" spans="1:22" x14ac:dyDescent="0.25">
      <c r="A989" t="s">
        <v>3582</v>
      </c>
      <c r="B989" s="1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  <c r="O989" t="str">
        <f>IF(OR($N989&lt;EDA_Summary!$B$14,$N989&gt;EDA_Summary!$B$15), "Outlier", "Normal")</f>
        <v>Normal</v>
      </c>
      <c r="S989">
        <v>5</v>
      </c>
      <c r="T989">
        <v>283.73</v>
      </c>
      <c r="U989">
        <v>8</v>
      </c>
      <c r="V989">
        <v>1418.65</v>
      </c>
    </row>
    <row r="990" spans="1:22" x14ac:dyDescent="0.25">
      <c r="A990" t="s">
        <v>3585</v>
      </c>
      <c r="B990" s="1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  <c r="O990" t="str">
        <f>IF(OR($N990&lt;EDA_Summary!$B$14,$N990&gt;EDA_Summary!$B$15), "Outlier", "Normal")</f>
        <v>Normal</v>
      </c>
      <c r="S990">
        <v>2</v>
      </c>
      <c r="T990">
        <v>629.55999999999995</v>
      </c>
      <c r="U990">
        <v>5</v>
      </c>
      <c r="V990">
        <v>1259.1199999999999</v>
      </c>
    </row>
    <row r="991" spans="1:22" x14ac:dyDescent="0.25">
      <c r="A991" t="s">
        <v>3588</v>
      </c>
      <c r="B991" s="1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  <c r="O991" t="str">
        <f>IF(OR($N991&lt;EDA_Summary!$B$14,$N991&gt;EDA_Summary!$B$15), "Outlier", "Normal")</f>
        <v>Normal</v>
      </c>
      <c r="S991">
        <v>4</v>
      </c>
      <c r="T991">
        <v>246.11</v>
      </c>
      <c r="U991">
        <v>4</v>
      </c>
      <c r="V991">
        <v>984.44</v>
      </c>
    </row>
    <row r="992" spans="1:22" x14ac:dyDescent="0.25">
      <c r="A992" t="s">
        <v>3592</v>
      </c>
      <c r="B992" s="1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  <c r="O992" t="str">
        <f>IF(OR($N992&lt;EDA_Summary!$B$14,$N992&gt;EDA_Summary!$B$15), "Outlier", "Normal")</f>
        <v>Normal</v>
      </c>
      <c r="S992">
        <v>2</v>
      </c>
      <c r="T992">
        <v>418.26</v>
      </c>
      <c r="U992">
        <v>2</v>
      </c>
      <c r="V992">
        <v>836.52</v>
      </c>
    </row>
    <row r="993" spans="1:22" x14ac:dyDescent="0.25">
      <c r="A993" t="s">
        <v>3596</v>
      </c>
      <c r="B993" s="1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  <c r="O993" t="str">
        <f>IF(OR($N993&lt;EDA_Summary!$B$14,$N993&gt;EDA_Summary!$B$15), "Outlier", "Normal")</f>
        <v>Normal</v>
      </c>
      <c r="S993">
        <v>5</v>
      </c>
      <c r="T993">
        <v>127.18</v>
      </c>
      <c r="U993">
        <v>10</v>
      </c>
      <c r="V993">
        <v>635.90000000000009</v>
      </c>
    </row>
    <row r="994" spans="1:22" x14ac:dyDescent="0.25">
      <c r="A994" t="s">
        <v>3599</v>
      </c>
      <c r="B994" s="1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  <c r="O994" t="str">
        <f>IF(OR($N994&lt;EDA_Summary!$B$14,$N994&gt;EDA_Summary!$B$15), "Outlier", "Normal")</f>
        <v>Normal</v>
      </c>
      <c r="S994">
        <v>3</v>
      </c>
      <c r="T994">
        <v>586.21</v>
      </c>
      <c r="U994">
        <v>4</v>
      </c>
      <c r="V994">
        <v>1758.63</v>
      </c>
    </row>
    <row r="995" spans="1:22" x14ac:dyDescent="0.25">
      <c r="A995" t="s">
        <v>3602</v>
      </c>
      <c r="B995" s="1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  <c r="O995" t="str">
        <f>IF(OR($N995&lt;EDA_Summary!$B$14,$N995&gt;EDA_Summary!$B$15), "Outlier", "Normal")</f>
        <v>Normal</v>
      </c>
      <c r="S995">
        <v>3</v>
      </c>
      <c r="T995">
        <v>267.45</v>
      </c>
      <c r="U995">
        <v>5</v>
      </c>
      <c r="V995">
        <v>802.34999999999991</v>
      </c>
    </row>
    <row r="996" spans="1:22" x14ac:dyDescent="0.25">
      <c r="A996" t="s">
        <v>3606</v>
      </c>
      <c r="B996" s="1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  <c r="O996" t="str">
        <f>IF(OR($N996&lt;EDA_Summary!$B$14,$N996&gt;EDA_Summary!$B$15), "Outlier", "Normal")</f>
        <v>Normal</v>
      </c>
      <c r="S996">
        <v>4</v>
      </c>
      <c r="T996">
        <v>615.65</v>
      </c>
      <c r="U996">
        <v>9</v>
      </c>
      <c r="V996">
        <v>2462.6</v>
      </c>
    </row>
    <row r="997" spans="1:22" x14ac:dyDescent="0.25">
      <c r="A997" t="s">
        <v>3609</v>
      </c>
      <c r="B997" s="1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  <c r="O997" t="str">
        <f>IF(OR($N997&lt;EDA_Summary!$B$14,$N997&gt;EDA_Summary!$B$15), "Outlier", "Normal")</f>
        <v>Normal</v>
      </c>
      <c r="S997">
        <v>2</v>
      </c>
      <c r="T997">
        <v>113.29</v>
      </c>
      <c r="U997">
        <v>5</v>
      </c>
      <c r="V997">
        <v>226.58</v>
      </c>
    </row>
    <row r="998" spans="1:22" x14ac:dyDescent="0.25">
      <c r="A998" t="s">
        <v>3612</v>
      </c>
      <c r="B998" s="1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  <c r="O998" t="str">
        <f>IF(OR($N998&lt;EDA_Summary!$B$14,$N998&gt;EDA_Summary!$B$15), "Outlier", "Normal")</f>
        <v>Normal</v>
      </c>
      <c r="S998">
        <v>4</v>
      </c>
      <c r="T998">
        <v>473.86</v>
      </c>
      <c r="U998">
        <v>7</v>
      </c>
      <c r="V998">
        <v>1895.44</v>
      </c>
    </row>
    <row r="999" spans="1:22" x14ac:dyDescent="0.25">
      <c r="A999" t="s">
        <v>3615</v>
      </c>
      <c r="B999" s="1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  <c r="O999" t="str">
        <f>IF(OR($N999&lt;EDA_Summary!$B$14,$N999&gt;EDA_Summary!$B$15), "Outlier", "Normal")</f>
        <v>Normal</v>
      </c>
      <c r="S999">
        <v>3</v>
      </c>
      <c r="T999">
        <v>444.75</v>
      </c>
      <c r="U999">
        <v>6</v>
      </c>
      <c r="V999">
        <v>1334.25</v>
      </c>
    </row>
    <row r="1000" spans="1:22" x14ac:dyDescent="0.25">
      <c r="A1000" t="s">
        <v>3618</v>
      </c>
      <c r="B1000" s="1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  <c r="O1000" t="str">
        <f>IF(OR($N1000&lt;EDA_Summary!$B$14,$N1000&gt;EDA_Summary!$B$15), "Outlier", "Normal")</f>
        <v>Normal</v>
      </c>
      <c r="S1000">
        <v>2</v>
      </c>
      <c r="T1000">
        <v>183.67</v>
      </c>
      <c r="U1000">
        <v>6</v>
      </c>
      <c r="V1000">
        <v>367.34</v>
      </c>
    </row>
    <row r="1001" spans="1:22" x14ac:dyDescent="0.25">
      <c r="A1001" t="s">
        <v>3621</v>
      </c>
      <c r="B1001" s="1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  <c r="O1001" t="str">
        <f>IF(OR($N1001&lt;EDA_Summary!$B$14,$N1001&gt;EDA_Summary!$B$15), "Outlier", "Normal")</f>
        <v>Normal</v>
      </c>
      <c r="S1001">
        <v>1</v>
      </c>
      <c r="T1001">
        <v>483.38</v>
      </c>
      <c r="U1001">
        <v>6</v>
      </c>
      <c r="V1001">
        <v>483.38</v>
      </c>
    </row>
    <row r="1002" spans="1:22" x14ac:dyDescent="0.25">
      <c r="A1002" t="s">
        <v>3624</v>
      </c>
      <c r="B1002" s="1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  <c r="O1002" t="str">
        <f>IF(OR($N1002&lt;EDA_Summary!$B$14,$N1002&gt;EDA_Summary!$B$15), "Outlier", "Normal")</f>
        <v>Normal</v>
      </c>
      <c r="S1002">
        <v>5</v>
      </c>
      <c r="T1002">
        <v>260.93</v>
      </c>
      <c r="U1002">
        <v>9</v>
      </c>
      <c r="V1002">
        <v>1304.6500000000001</v>
      </c>
    </row>
    <row r="1003" spans="1:22" x14ac:dyDescent="0.25">
      <c r="A1003" t="s">
        <v>3628</v>
      </c>
      <c r="B1003" s="1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  <c r="O1003" t="str">
        <f>IF(OR($N1003&lt;EDA_Summary!$B$14,$N1003&gt;EDA_Summary!$B$15), "Outlier", "Normal")</f>
        <v>Normal</v>
      </c>
      <c r="S1003">
        <v>2</v>
      </c>
      <c r="T1003">
        <v>253.68</v>
      </c>
      <c r="U1003">
        <v>6</v>
      </c>
      <c r="V1003">
        <v>507.36</v>
      </c>
    </row>
    <row r="1004" spans="1:22" x14ac:dyDescent="0.25">
      <c r="A1004" t="s">
        <v>3631</v>
      </c>
      <c r="B1004" s="1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  <c r="O1004" t="str">
        <f>IF(OR($N1004&lt;EDA_Summary!$B$14,$N1004&gt;EDA_Summary!$B$15), "Outlier", "Normal")</f>
        <v>Normal</v>
      </c>
      <c r="S1004">
        <v>4</v>
      </c>
      <c r="T1004">
        <v>699.88</v>
      </c>
      <c r="U1004">
        <v>5</v>
      </c>
      <c r="V1004">
        <v>2799.52</v>
      </c>
    </row>
    <row r="1005" spans="1:22" x14ac:dyDescent="0.25">
      <c r="A1005" t="s">
        <v>3634</v>
      </c>
      <c r="B1005" s="1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  <c r="O1005" t="str">
        <f>IF(OR($N1005&lt;EDA_Summary!$B$14,$N1005&gt;EDA_Summary!$B$15), "Outlier", "Normal")</f>
        <v>Normal</v>
      </c>
      <c r="S1005">
        <v>5</v>
      </c>
      <c r="T1005">
        <v>319.97000000000003</v>
      </c>
      <c r="U1005">
        <v>7</v>
      </c>
      <c r="V1005">
        <v>1599.85</v>
      </c>
    </row>
    <row r="1006" spans="1:22" x14ac:dyDescent="0.25">
      <c r="A1006" t="s">
        <v>3637</v>
      </c>
      <c r="B1006" s="1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  <c r="O1006" t="str">
        <f>IF(OR($N1006&lt;EDA_Summary!$B$14,$N1006&gt;EDA_Summary!$B$15), "Outlier", "Normal")</f>
        <v>Normal</v>
      </c>
      <c r="S1006">
        <v>4</v>
      </c>
      <c r="T1006">
        <v>246.91</v>
      </c>
      <c r="U1006">
        <v>8</v>
      </c>
      <c r="V1006">
        <v>987.64</v>
      </c>
    </row>
    <row r="1007" spans="1:22" x14ac:dyDescent="0.25">
      <c r="A1007" t="s">
        <v>3640</v>
      </c>
      <c r="B1007" s="1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  <c r="O1007" t="str">
        <f>IF(OR($N1007&lt;EDA_Summary!$B$14,$N1007&gt;EDA_Summary!$B$15), "Outlier", "Normal")</f>
        <v>Normal</v>
      </c>
      <c r="S1007">
        <v>3</v>
      </c>
      <c r="T1007">
        <v>392.85</v>
      </c>
      <c r="U1007">
        <v>6</v>
      </c>
      <c r="V1007">
        <v>1178.55</v>
      </c>
    </row>
    <row r="1008" spans="1:22" x14ac:dyDescent="0.25">
      <c r="A1008" t="s">
        <v>3643</v>
      </c>
      <c r="B1008" s="1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  <c r="O1008" t="str">
        <f>IF(OR($N1008&lt;EDA_Summary!$B$14,$N1008&gt;EDA_Summary!$B$15), "Outlier", "Normal")</f>
        <v>Normal</v>
      </c>
      <c r="S1008">
        <v>5</v>
      </c>
      <c r="T1008">
        <v>420.98</v>
      </c>
      <c r="U1008">
        <v>7</v>
      </c>
      <c r="V1008">
        <v>2104.9</v>
      </c>
    </row>
    <row r="1009" spans="1:22" x14ac:dyDescent="0.25">
      <c r="A1009" t="s">
        <v>3646</v>
      </c>
      <c r="B1009" s="1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  <c r="O1009" t="str">
        <f>IF(OR($N1009&lt;EDA_Summary!$B$14,$N1009&gt;EDA_Summary!$B$15), "Outlier", "Normal")</f>
        <v>Normal</v>
      </c>
      <c r="S1009">
        <v>2</v>
      </c>
      <c r="T1009">
        <v>73.260000000000005</v>
      </c>
      <c r="U1009">
        <v>4</v>
      </c>
      <c r="V1009">
        <v>146.52000000000001</v>
      </c>
    </row>
    <row r="1010" spans="1:22" x14ac:dyDescent="0.25">
      <c r="A1010" t="s">
        <v>3648</v>
      </c>
      <c r="B1010" s="1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  <c r="O1010" t="str">
        <f>IF(OR($N1010&lt;EDA_Summary!$B$14,$N1010&gt;EDA_Summary!$B$15), "Outlier", "Normal")</f>
        <v>Normal</v>
      </c>
      <c r="S1010">
        <v>3</v>
      </c>
      <c r="T1010">
        <v>410.88</v>
      </c>
      <c r="U1010">
        <v>8</v>
      </c>
      <c r="V1010">
        <v>1232.6400000000001</v>
      </c>
    </row>
    <row r="1011" spans="1:22" x14ac:dyDescent="0.25">
      <c r="A1011" t="s">
        <v>3651</v>
      </c>
      <c r="B1011" s="1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  <c r="O1011" t="str">
        <f>IF(OR($N1011&lt;EDA_Summary!$B$14,$N1011&gt;EDA_Summary!$B$15), "Outlier", "Normal")</f>
        <v>Normal</v>
      </c>
      <c r="S1011">
        <v>2</v>
      </c>
      <c r="T1011">
        <v>176.46</v>
      </c>
      <c r="U1011">
        <v>2</v>
      </c>
      <c r="V1011">
        <v>352.92</v>
      </c>
    </row>
    <row r="1012" spans="1:22" x14ac:dyDescent="0.25">
      <c r="A1012" t="s">
        <v>3654</v>
      </c>
      <c r="B1012" s="1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  <c r="O1012" t="str">
        <f>IF(OR($N1012&lt;EDA_Summary!$B$14,$N1012&gt;EDA_Summary!$B$15), "Outlier", "Normal")</f>
        <v>Normal</v>
      </c>
      <c r="S1012">
        <v>3</v>
      </c>
      <c r="T1012">
        <v>659.57</v>
      </c>
      <c r="U1012">
        <v>6</v>
      </c>
      <c r="V1012">
        <v>1978.71</v>
      </c>
    </row>
    <row r="1013" spans="1:22" x14ac:dyDescent="0.25">
      <c r="A1013" t="s">
        <v>3657</v>
      </c>
      <c r="B1013" s="1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  <c r="O1013" t="str">
        <f>IF(OR($N1013&lt;EDA_Summary!$B$14,$N1013&gt;EDA_Summary!$B$15), "Outlier", "Normal")</f>
        <v>Normal</v>
      </c>
      <c r="S1013">
        <v>2</v>
      </c>
      <c r="T1013">
        <v>478.36</v>
      </c>
      <c r="U1013">
        <v>3</v>
      </c>
      <c r="V1013">
        <v>956.72</v>
      </c>
    </row>
    <row r="1014" spans="1:22" x14ac:dyDescent="0.25">
      <c r="A1014" t="s">
        <v>3660</v>
      </c>
      <c r="B1014" s="1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  <c r="O1014" t="str">
        <f>IF(OR($N1014&lt;EDA_Summary!$B$14,$N1014&gt;EDA_Summary!$B$15), "Outlier", "Normal")</f>
        <v>Normal</v>
      </c>
      <c r="S1014">
        <v>4</v>
      </c>
      <c r="T1014">
        <v>30.05</v>
      </c>
      <c r="U1014">
        <v>6</v>
      </c>
      <c r="V1014">
        <v>120.2</v>
      </c>
    </row>
    <row r="1015" spans="1:22" x14ac:dyDescent="0.25">
      <c r="A1015" t="s">
        <v>3663</v>
      </c>
      <c r="B1015" s="1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  <c r="O1015" t="str">
        <f>IF(OR($N1015&lt;EDA_Summary!$B$14,$N1015&gt;EDA_Summary!$B$15), "Outlier", "Normal")</f>
        <v>Normal</v>
      </c>
      <c r="S1015">
        <v>4</v>
      </c>
      <c r="T1015">
        <v>300.56</v>
      </c>
      <c r="U1015">
        <v>9</v>
      </c>
      <c r="V1015">
        <v>1202.24</v>
      </c>
    </row>
    <row r="1016" spans="1:22" x14ac:dyDescent="0.25">
      <c r="A1016" t="s">
        <v>3666</v>
      </c>
      <c r="B1016" s="1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  <c r="O1016" t="str">
        <f>IF(OR($N1016&lt;EDA_Summary!$B$14,$N1016&gt;EDA_Summary!$B$15), "Outlier", "Normal")</f>
        <v>Normal</v>
      </c>
      <c r="S1016">
        <v>5</v>
      </c>
      <c r="T1016">
        <v>226.45</v>
      </c>
      <c r="U1016">
        <v>6</v>
      </c>
      <c r="V1016">
        <v>1132.25</v>
      </c>
    </row>
    <row r="1017" spans="1:22" x14ac:dyDescent="0.25">
      <c r="A1017" t="s">
        <v>3669</v>
      </c>
      <c r="B1017" s="1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  <c r="O1017" t="str">
        <f>IF(OR($N1017&lt;EDA_Summary!$B$14,$N1017&gt;EDA_Summary!$B$15), "Outlier", "Normal")</f>
        <v>Normal</v>
      </c>
      <c r="S1017">
        <v>2</v>
      </c>
      <c r="T1017">
        <v>349.4</v>
      </c>
      <c r="U1017">
        <v>2</v>
      </c>
      <c r="V1017">
        <v>698.8</v>
      </c>
    </row>
    <row r="1018" spans="1:22" x14ac:dyDescent="0.25">
      <c r="A1018" t="s">
        <v>3672</v>
      </c>
      <c r="B1018" s="1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  <c r="O1018" t="str">
        <f>IF(OR($N1018&lt;EDA_Summary!$B$14,$N1018&gt;EDA_Summary!$B$15), "Outlier", "Normal")</f>
        <v>Normal</v>
      </c>
      <c r="S1018">
        <v>5</v>
      </c>
      <c r="T1018">
        <v>268.77999999999997</v>
      </c>
      <c r="U1018">
        <v>7</v>
      </c>
      <c r="V1018">
        <v>1343.9</v>
      </c>
    </row>
    <row r="1019" spans="1:22" x14ac:dyDescent="0.25">
      <c r="A1019" t="s">
        <v>3676</v>
      </c>
      <c r="B1019" s="1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  <c r="O1019" t="str">
        <f>IF(OR($N1019&lt;EDA_Summary!$B$14,$N1019&gt;EDA_Summary!$B$15), "Outlier", "Normal")</f>
        <v>Normal</v>
      </c>
      <c r="S1019">
        <v>2</v>
      </c>
      <c r="T1019">
        <v>680.85</v>
      </c>
      <c r="U1019">
        <v>6</v>
      </c>
      <c r="V1019">
        <v>1361.7</v>
      </c>
    </row>
    <row r="1020" spans="1:22" x14ac:dyDescent="0.25">
      <c r="A1020" t="s">
        <v>3680</v>
      </c>
      <c r="B1020" s="1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  <c r="O1020" t="str">
        <f>IF(OR($N1020&lt;EDA_Summary!$B$14,$N1020&gt;EDA_Summary!$B$15), "Outlier", "Normal")</f>
        <v>Normal</v>
      </c>
      <c r="S1020">
        <v>3</v>
      </c>
      <c r="T1020">
        <v>182.48</v>
      </c>
      <c r="U1020">
        <v>3</v>
      </c>
      <c r="V1020">
        <v>547.43999999999994</v>
      </c>
    </row>
    <row r="1021" spans="1:22" x14ac:dyDescent="0.25">
      <c r="A1021" t="s">
        <v>3684</v>
      </c>
      <c r="B1021" s="1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  <c r="O1021" t="str">
        <f>IF(OR($N1021&lt;EDA_Summary!$B$14,$N1021&gt;EDA_Summary!$B$15), "Outlier", "Normal")</f>
        <v>Normal</v>
      </c>
      <c r="S1021">
        <v>1</v>
      </c>
      <c r="T1021">
        <v>277.08999999999997</v>
      </c>
      <c r="U1021">
        <v>2</v>
      </c>
      <c r="V1021">
        <v>277.08999999999997</v>
      </c>
    </row>
    <row r="1022" spans="1:22" x14ac:dyDescent="0.25">
      <c r="A1022" t="s">
        <v>3687</v>
      </c>
      <c r="B1022" s="1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  <c r="O1022" t="str">
        <f>IF(OR($N1022&lt;EDA_Summary!$B$14,$N1022&gt;EDA_Summary!$B$15), "Outlier", "Normal")</f>
        <v>Normal</v>
      </c>
      <c r="S1022">
        <v>2</v>
      </c>
      <c r="T1022">
        <v>26.5</v>
      </c>
      <c r="U1022">
        <v>3</v>
      </c>
      <c r="V1022">
        <v>53</v>
      </c>
    </row>
    <row r="1023" spans="1:22" x14ac:dyDescent="0.25">
      <c r="A1023" t="s">
        <v>3690</v>
      </c>
      <c r="B1023" s="1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  <c r="O1023" t="str">
        <f>IF(OR($N1023&lt;EDA_Summary!$B$14,$N1023&gt;EDA_Summary!$B$15), "Outlier", "Normal")</f>
        <v>Normal</v>
      </c>
      <c r="S1023">
        <v>3</v>
      </c>
      <c r="T1023">
        <v>315.27</v>
      </c>
      <c r="U1023">
        <v>4</v>
      </c>
      <c r="V1023">
        <v>945.81</v>
      </c>
    </row>
    <row r="1024" spans="1:22" x14ac:dyDescent="0.25">
      <c r="A1024" t="s">
        <v>3693</v>
      </c>
      <c r="B1024" s="1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  <c r="O1024" t="str">
        <f>IF(OR($N1024&lt;EDA_Summary!$B$14,$N1024&gt;EDA_Summary!$B$15), "Outlier", "Normal")</f>
        <v>Normal</v>
      </c>
      <c r="S1024">
        <v>3</v>
      </c>
      <c r="T1024">
        <v>450.98</v>
      </c>
      <c r="U1024">
        <v>8</v>
      </c>
      <c r="V1024">
        <v>1352.94</v>
      </c>
    </row>
    <row r="1025" spans="1:22" x14ac:dyDescent="0.25">
      <c r="A1025" t="s">
        <v>3696</v>
      </c>
      <c r="B1025" s="1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  <c r="O1025" t="str">
        <f>IF(OR($N1025&lt;EDA_Summary!$B$14,$N1025&gt;EDA_Summary!$B$15), "Outlier", "Normal")</f>
        <v>Normal</v>
      </c>
      <c r="S1025">
        <v>5</v>
      </c>
      <c r="T1025">
        <v>233.67</v>
      </c>
      <c r="U1025">
        <v>10</v>
      </c>
      <c r="V1025">
        <v>1168.3499999999999</v>
      </c>
    </row>
    <row r="1026" spans="1:22" x14ac:dyDescent="0.25">
      <c r="A1026" t="s">
        <v>3699</v>
      </c>
      <c r="B1026" s="1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  <c r="O1026" t="str">
        <f>IF(OR($N1026&lt;EDA_Summary!$B$14,$N1026&gt;EDA_Summary!$B$15), "Outlier", "Normal")</f>
        <v>Normal</v>
      </c>
      <c r="S1026">
        <v>3</v>
      </c>
      <c r="T1026">
        <v>367.75</v>
      </c>
      <c r="U1026">
        <v>7</v>
      </c>
      <c r="V1026">
        <v>1103.25</v>
      </c>
    </row>
    <row r="1027" spans="1:22" x14ac:dyDescent="0.25">
      <c r="A1027" t="s">
        <v>3702</v>
      </c>
      <c r="B1027" s="1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  <c r="O1027" t="str">
        <f>IF(OR($N1027&lt;EDA_Summary!$B$14,$N1027&gt;EDA_Summary!$B$15), "Outlier", "Normal")</f>
        <v>Normal</v>
      </c>
      <c r="S1027">
        <v>1</v>
      </c>
      <c r="T1027">
        <v>23.53</v>
      </c>
      <c r="U1027">
        <v>2</v>
      </c>
      <c r="V1027">
        <v>23.53</v>
      </c>
    </row>
    <row r="1028" spans="1:22" x14ac:dyDescent="0.25">
      <c r="A1028" t="s">
        <v>3705</v>
      </c>
      <c r="B1028" s="1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  <c r="O1028" t="str">
        <f>IF(OR($N1028&lt;EDA_Summary!$B$14,$N1028&gt;EDA_Summary!$B$15), "Outlier", "Normal")</f>
        <v>Normal</v>
      </c>
      <c r="S1028">
        <v>1</v>
      </c>
      <c r="T1028">
        <v>677.48</v>
      </c>
      <c r="U1028">
        <v>1</v>
      </c>
      <c r="V1028">
        <v>677.48</v>
      </c>
    </row>
    <row r="1029" spans="1:22" x14ac:dyDescent="0.25">
      <c r="A1029" t="s">
        <v>3708</v>
      </c>
      <c r="B1029" s="1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  <c r="O1029" t="str">
        <f>IF(OR($N1029&lt;EDA_Summary!$B$14,$N1029&gt;EDA_Summary!$B$15), "Outlier", "Normal")</f>
        <v>Normal</v>
      </c>
      <c r="S1029">
        <v>4</v>
      </c>
      <c r="T1029">
        <v>554.83000000000004</v>
      </c>
      <c r="U1029">
        <v>6</v>
      </c>
      <c r="V1029">
        <v>2219.3200000000002</v>
      </c>
    </row>
    <row r="1030" spans="1:22" x14ac:dyDescent="0.25">
      <c r="A1030" t="s">
        <v>3711</v>
      </c>
      <c r="B1030" s="1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  <c r="O1030" t="str">
        <f>IF(OR($N1030&lt;EDA_Summary!$B$14,$N1030&gt;EDA_Summary!$B$15), "Outlier", "Normal")</f>
        <v>Normal</v>
      </c>
      <c r="S1030">
        <v>4</v>
      </c>
      <c r="T1030">
        <v>440.31</v>
      </c>
      <c r="U1030">
        <v>6</v>
      </c>
      <c r="V1030">
        <v>1761.24</v>
      </c>
    </row>
    <row r="1031" spans="1:22" x14ac:dyDescent="0.25">
      <c r="A1031" t="s">
        <v>3714</v>
      </c>
      <c r="B1031" s="1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  <c r="O1031" t="str">
        <f>IF(OR($N1031&lt;EDA_Summary!$B$14,$N1031&gt;EDA_Summary!$B$15), "Outlier", "Normal")</f>
        <v>Normal</v>
      </c>
      <c r="S1031">
        <v>1</v>
      </c>
      <c r="T1031">
        <v>87.06</v>
      </c>
      <c r="U1031">
        <v>4</v>
      </c>
      <c r="V1031">
        <v>87.06</v>
      </c>
    </row>
    <row r="1032" spans="1:22" x14ac:dyDescent="0.25">
      <c r="A1032" t="s">
        <v>3717</v>
      </c>
      <c r="B1032" s="1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  <c r="O1032" t="str">
        <f>IF(OR($N1032&lt;EDA_Summary!$B$14,$N1032&gt;EDA_Summary!$B$15), "Outlier", "Normal")</f>
        <v>Normal</v>
      </c>
      <c r="S1032">
        <v>4</v>
      </c>
      <c r="T1032">
        <v>245.28</v>
      </c>
      <c r="U1032">
        <v>6</v>
      </c>
      <c r="V1032">
        <v>981.12</v>
      </c>
    </row>
    <row r="1033" spans="1:22" x14ac:dyDescent="0.25">
      <c r="A1033" t="s">
        <v>3721</v>
      </c>
      <c r="B1033" s="1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  <c r="O1033" t="str">
        <f>IF(OR($N1033&lt;EDA_Summary!$B$14,$N1033&gt;EDA_Summary!$B$15), "Outlier", "Normal")</f>
        <v>Normal</v>
      </c>
      <c r="S1033">
        <v>5</v>
      </c>
      <c r="T1033">
        <v>664.51</v>
      </c>
      <c r="U1033">
        <v>8</v>
      </c>
      <c r="V1033">
        <v>3322.55</v>
      </c>
    </row>
    <row r="1034" spans="1:22" x14ac:dyDescent="0.25">
      <c r="A1034" t="s">
        <v>3725</v>
      </c>
      <c r="B1034" s="1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  <c r="O1034" t="str">
        <f>IF(OR($N1034&lt;EDA_Summary!$B$14,$N1034&gt;EDA_Summary!$B$15), "Outlier", "Normal")</f>
        <v>Normal</v>
      </c>
      <c r="S1034">
        <v>1</v>
      </c>
      <c r="T1034">
        <v>618.67999999999995</v>
      </c>
      <c r="U1034">
        <v>6</v>
      </c>
      <c r="V1034">
        <v>618.67999999999995</v>
      </c>
    </row>
    <row r="1035" spans="1:22" x14ac:dyDescent="0.25">
      <c r="A1035" t="s">
        <v>3728</v>
      </c>
      <c r="B1035" s="1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  <c r="O1035" t="str">
        <f>IF(OR($N1035&lt;EDA_Summary!$B$14,$N1035&gt;EDA_Summary!$B$15), "Outlier", "Normal")</f>
        <v>Normal</v>
      </c>
      <c r="S1035">
        <v>1</v>
      </c>
      <c r="T1035">
        <v>370.85</v>
      </c>
      <c r="U1035">
        <v>2</v>
      </c>
      <c r="V1035">
        <v>370.85</v>
      </c>
    </row>
    <row r="1036" spans="1:22" x14ac:dyDescent="0.25">
      <c r="A1036" t="s">
        <v>3732</v>
      </c>
      <c r="B1036" s="1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  <c r="O1036" t="str">
        <f>IF(OR($N1036&lt;EDA_Summary!$B$14,$N1036&gt;EDA_Summary!$B$15), "Outlier", "Normal")</f>
        <v>Normal</v>
      </c>
      <c r="S1036">
        <v>4</v>
      </c>
      <c r="T1036">
        <v>517.98</v>
      </c>
      <c r="U1036">
        <v>8</v>
      </c>
      <c r="V1036">
        <v>2071.92</v>
      </c>
    </row>
    <row r="1037" spans="1:22" x14ac:dyDescent="0.25">
      <c r="A1037" t="s">
        <v>3736</v>
      </c>
      <c r="B1037" s="1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  <c r="O1037" t="str">
        <f>IF(OR($N1037&lt;EDA_Summary!$B$14,$N1037&gt;EDA_Summary!$B$15), "Outlier", "Normal")</f>
        <v>Normal</v>
      </c>
      <c r="S1037">
        <v>4</v>
      </c>
      <c r="T1037">
        <v>506.11</v>
      </c>
      <c r="U1037">
        <v>5</v>
      </c>
      <c r="V1037">
        <v>2024.44</v>
      </c>
    </row>
    <row r="1038" spans="1:22" x14ac:dyDescent="0.25">
      <c r="A1038" t="s">
        <v>3740</v>
      </c>
      <c r="B1038" s="1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  <c r="O1038" t="str">
        <f>IF(OR($N1038&lt;EDA_Summary!$B$14,$N1038&gt;EDA_Summary!$B$15), "Outlier", "Normal")</f>
        <v>Normal</v>
      </c>
      <c r="S1038">
        <v>3</v>
      </c>
      <c r="T1038">
        <v>413.83</v>
      </c>
      <c r="U1038">
        <v>8</v>
      </c>
      <c r="V1038">
        <v>1241.49</v>
      </c>
    </row>
    <row r="1039" spans="1:22" x14ac:dyDescent="0.25">
      <c r="A1039" t="s">
        <v>3743</v>
      </c>
      <c r="B1039" s="1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  <c r="O1039" t="str">
        <f>IF(OR($N1039&lt;EDA_Summary!$B$14,$N1039&gt;EDA_Summary!$B$15), "Outlier", "Normal")</f>
        <v>Normal</v>
      </c>
      <c r="S1039">
        <v>1</v>
      </c>
      <c r="T1039">
        <v>249.81</v>
      </c>
      <c r="U1039">
        <v>1</v>
      </c>
      <c r="V1039">
        <v>249.81</v>
      </c>
    </row>
    <row r="1040" spans="1:22" x14ac:dyDescent="0.25">
      <c r="A1040" t="s">
        <v>3746</v>
      </c>
      <c r="B1040" s="1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  <c r="O1040" t="str">
        <f>IF(OR($N1040&lt;EDA_Summary!$B$14,$N1040&gt;EDA_Summary!$B$15), "Outlier", "Normal")</f>
        <v>Normal</v>
      </c>
      <c r="S1040">
        <v>3</v>
      </c>
      <c r="T1040">
        <v>362.53</v>
      </c>
      <c r="U1040">
        <v>5</v>
      </c>
      <c r="V1040">
        <v>1087.5899999999999</v>
      </c>
    </row>
    <row r="1041" spans="1:22" x14ac:dyDescent="0.25">
      <c r="A1041" t="s">
        <v>3750</v>
      </c>
      <c r="B1041" s="1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  <c r="O1041" t="str">
        <f>IF(OR($N1041&lt;EDA_Summary!$B$14,$N1041&gt;EDA_Summary!$B$15), "Outlier", "Normal")</f>
        <v>Normal</v>
      </c>
      <c r="S1041">
        <v>2</v>
      </c>
      <c r="T1041">
        <v>299.23</v>
      </c>
      <c r="U1041">
        <v>2</v>
      </c>
      <c r="V1041">
        <v>598.46</v>
      </c>
    </row>
    <row r="1042" spans="1:22" x14ac:dyDescent="0.25">
      <c r="A1042" t="s">
        <v>3754</v>
      </c>
      <c r="B1042" s="1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  <c r="O1042" t="str">
        <f>IF(OR($N1042&lt;EDA_Summary!$B$14,$N1042&gt;EDA_Summary!$B$15), "Outlier", "Normal")</f>
        <v>Normal</v>
      </c>
      <c r="S1042">
        <v>1</v>
      </c>
      <c r="T1042">
        <v>536.07000000000005</v>
      </c>
      <c r="U1042">
        <v>5</v>
      </c>
      <c r="V1042">
        <v>536.07000000000005</v>
      </c>
    </row>
    <row r="1043" spans="1:22" x14ac:dyDescent="0.25">
      <c r="A1043" t="s">
        <v>3757</v>
      </c>
      <c r="B1043" s="1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  <c r="O1043" t="str">
        <f>IF(OR($N1043&lt;EDA_Summary!$B$14,$N1043&gt;EDA_Summary!$B$15), "Outlier", "Normal")</f>
        <v>Normal</v>
      </c>
      <c r="S1043">
        <v>4</v>
      </c>
      <c r="T1043">
        <v>558.9</v>
      </c>
      <c r="U1043">
        <v>9</v>
      </c>
      <c r="V1043">
        <v>2235.6</v>
      </c>
    </row>
    <row r="1044" spans="1:22" x14ac:dyDescent="0.25">
      <c r="A1044" t="s">
        <v>3760</v>
      </c>
      <c r="B1044" s="1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  <c r="O1044" t="str">
        <f>IF(OR($N1044&lt;EDA_Summary!$B$14,$N1044&gt;EDA_Summary!$B$15), "Outlier", "Normal")</f>
        <v>Normal</v>
      </c>
      <c r="S1044">
        <v>2</v>
      </c>
      <c r="T1044">
        <v>409.75</v>
      </c>
      <c r="U1044">
        <v>2</v>
      </c>
      <c r="V1044">
        <v>819.5</v>
      </c>
    </row>
    <row r="1045" spans="1:22" x14ac:dyDescent="0.25">
      <c r="A1045" t="s">
        <v>3763</v>
      </c>
      <c r="B1045" s="1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  <c r="O1045" t="str">
        <f>IF(OR($N1045&lt;EDA_Summary!$B$14,$N1045&gt;EDA_Summary!$B$15), "Outlier", "Normal")</f>
        <v>Normal</v>
      </c>
      <c r="S1045">
        <v>2</v>
      </c>
      <c r="T1045">
        <v>179.96</v>
      </c>
      <c r="U1045">
        <v>5</v>
      </c>
      <c r="V1045">
        <v>359.92</v>
      </c>
    </row>
    <row r="1046" spans="1:22" x14ac:dyDescent="0.25">
      <c r="A1046" t="s">
        <v>3766</v>
      </c>
      <c r="B1046" s="1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  <c r="O1046" t="str">
        <f>IF(OR($N1046&lt;EDA_Summary!$B$14,$N1046&gt;EDA_Summary!$B$15), "Outlier", "Normal")</f>
        <v>Normal</v>
      </c>
      <c r="S1046">
        <v>1</v>
      </c>
      <c r="T1046">
        <v>38.49</v>
      </c>
      <c r="U1046">
        <v>4</v>
      </c>
      <c r="V1046">
        <v>38.49</v>
      </c>
    </row>
    <row r="1047" spans="1:22" x14ac:dyDescent="0.25">
      <c r="A1047" t="s">
        <v>3770</v>
      </c>
      <c r="B1047" s="1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  <c r="O1047" t="str">
        <f>IF(OR($N1047&lt;EDA_Summary!$B$14,$N1047&gt;EDA_Summary!$B$15), "Outlier", "Normal")</f>
        <v>Normal</v>
      </c>
      <c r="S1047">
        <v>5</v>
      </c>
      <c r="T1047">
        <v>316.39999999999998</v>
      </c>
      <c r="U1047">
        <v>7</v>
      </c>
      <c r="V1047">
        <v>1582</v>
      </c>
    </row>
    <row r="1048" spans="1:22" x14ac:dyDescent="0.25">
      <c r="A1048" t="s">
        <v>3774</v>
      </c>
      <c r="B1048" s="1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  <c r="O1048" t="str">
        <f>IF(OR($N1048&lt;EDA_Summary!$B$14,$N1048&gt;EDA_Summary!$B$15), "Outlier", "Normal")</f>
        <v>Normal</v>
      </c>
      <c r="S1048">
        <v>3</v>
      </c>
      <c r="T1048">
        <v>547.15</v>
      </c>
      <c r="U1048">
        <v>4</v>
      </c>
      <c r="V1048">
        <v>1641.45</v>
      </c>
    </row>
    <row r="1049" spans="1:22" x14ac:dyDescent="0.25">
      <c r="A1049" t="s">
        <v>3778</v>
      </c>
      <c r="B1049" s="1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  <c r="O1049" t="str">
        <f>IF(OR($N1049&lt;EDA_Summary!$B$14,$N1049&gt;EDA_Summary!$B$15), "Outlier", "Normal")</f>
        <v>Normal</v>
      </c>
      <c r="S1049">
        <v>4</v>
      </c>
      <c r="T1049">
        <v>540.34</v>
      </c>
      <c r="U1049">
        <v>6</v>
      </c>
      <c r="V1049">
        <v>2161.36</v>
      </c>
    </row>
    <row r="1050" spans="1:22" x14ac:dyDescent="0.25">
      <c r="A1050" t="s">
        <v>3782</v>
      </c>
      <c r="B1050" s="1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  <c r="O1050" t="str">
        <f>IF(OR($N1050&lt;EDA_Summary!$B$14,$N1050&gt;EDA_Summary!$B$15), "Outlier", "Normal")</f>
        <v>Normal</v>
      </c>
      <c r="S1050">
        <v>4</v>
      </c>
      <c r="T1050">
        <v>73.650000000000006</v>
      </c>
      <c r="U1050">
        <v>9</v>
      </c>
      <c r="V1050">
        <v>294.60000000000002</v>
      </c>
    </row>
    <row r="1051" spans="1:22" x14ac:dyDescent="0.25">
      <c r="A1051" t="s">
        <v>3786</v>
      </c>
      <c r="B1051" s="1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  <c r="O1051" t="str">
        <f>IF(OR($N1051&lt;EDA_Summary!$B$14,$N1051&gt;EDA_Summary!$B$15), "Outlier", "Normal")</f>
        <v>Normal</v>
      </c>
      <c r="S1051">
        <v>5</v>
      </c>
      <c r="T1051">
        <v>391.86</v>
      </c>
      <c r="U1051">
        <v>6</v>
      </c>
      <c r="V1051">
        <v>1959.3</v>
      </c>
    </row>
    <row r="1052" spans="1:22" x14ac:dyDescent="0.25">
      <c r="A1052" t="s">
        <v>3789</v>
      </c>
      <c r="B1052" s="1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  <c r="O1052" t="str">
        <f>IF(OR($N1052&lt;EDA_Summary!$B$14,$N1052&gt;EDA_Summary!$B$15), "Outlier", "Normal")</f>
        <v>Normal</v>
      </c>
      <c r="S1052">
        <v>5</v>
      </c>
      <c r="T1052">
        <v>69.7</v>
      </c>
      <c r="U1052">
        <v>9</v>
      </c>
      <c r="V1052">
        <v>348.5</v>
      </c>
    </row>
    <row r="1053" spans="1:22" x14ac:dyDescent="0.25">
      <c r="A1053" t="s">
        <v>3792</v>
      </c>
      <c r="B1053" s="1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  <c r="O1053" t="str">
        <f>IF(OR($N1053&lt;EDA_Summary!$B$14,$N1053&gt;EDA_Summary!$B$15), "Outlier", "Normal")</f>
        <v>Normal</v>
      </c>
      <c r="S1053">
        <v>5</v>
      </c>
      <c r="T1053">
        <v>26.43</v>
      </c>
      <c r="U1053">
        <v>5</v>
      </c>
      <c r="V1053">
        <v>132.15</v>
      </c>
    </row>
    <row r="1054" spans="1:22" x14ac:dyDescent="0.25">
      <c r="A1054" t="s">
        <v>3796</v>
      </c>
      <c r="B1054" s="1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  <c r="O1054" t="str">
        <f>IF(OR($N1054&lt;EDA_Summary!$B$14,$N1054&gt;EDA_Summary!$B$15), "Outlier", "Normal")</f>
        <v>Normal</v>
      </c>
      <c r="S1054">
        <v>1</v>
      </c>
      <c r="T1054">
        <v>531.74</v>
      </c>
      <c r="U1054">
        <v>1</v>
      </c>
      <c r="V1054">
        <v>531.74</v>
      </c>
    </row>
    <row r="1055" spans="1:22" x14ac:dyDescent="0.25">
      <c r="A1055" t="s">
        <v>3800</v>
      </c>
      <c r="B1055" s="1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  <c r="O1055" t="str">
        <f>IF(OR($N1055&lt;EDA_Summary!$B$14,$N1055&gt;EDA_Summary!$B$15), "Outlier", "Normal")</f>
        <v>Normal</v>
      </c>
      <c r="S1055">
        <v>2</v>
      </c>
      <c r="T1055">
        <v>496.62</v>
      </c>
      <c r="U1055">
        <v>2</v>
      </c>
      <c r="V1055">
        <v>993.24</v>
      </c>
    </row>
    <row r="1056" spans="1:22" x14ac:dyDescent="0.25">
      <c r="A1056" t="s">
        <v>3803</v>
      </c>
      <c r="B1056" s="1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  <c r="O1056" t="str">
        <f>IF(OR($N1056&lt;EDA_Summary!$B$14,$N1056&gt;EDA_Summary!$B$15), "Outlier", "Normal")</f>
        <v>Normal</v>
      </c>
      <c r="S1056">
        <v>1</v>
      </c>
      <c r="T1056">
        <v>660.66</v>
      </c>
      <c r="U1056">
        <v>3</v>
      </c>
      <c r="V1056">
        <v>660.66</v>
      </c>
    </row>
    <row r="1057" spans="1:22" x14ac:dyDescent="0.25">
      <c r="A1057" t="s">
        <v>3806</v>
      </c>
      <c r="B1057" s="1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  <c r="O1057" t="str">
        <f>IF(OR($N1057&lt;EDA_Summary!$B$14,$N1057&gt;EDA_Summary!$B$15), "Outlier", "Normal")</f>
        <v>Normal</v>
      </c>
      <c r="S1057">
        <v>4</v>
      </c>
      <c r="T1057">
        <v>274.82</v>
      </c>
      <c r="U1057">
        <v>9</v>
      </c>
      <c r="V1057">
        <v>1099.28</v>
      </c>
    </row>
    <row r="1058" spans="1:22" x14ac:dyDescent="0.25">
      <c r="A1058" t="s">
        <v>3809</v>
      </c>
      <c r="B1058" s="1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  <c r="O1058" t="str">
        <f>IF(OR($N1058&lt;EDA_Summary!$B$14,$N1058&gt;EDA_Summary!$B$15), "Outlier", "Normal")</f>
        <v>Normal</v>
      </c>
      <c r="S1058">
        <v>2</v>
      </c>
      <c r="T1058">
        <v>486.35</v>
      </c>
      <c r="U1058">
        <v>6</v>
      </c>
      <c r="V1058">
        <v>972.7</v>
      </c>
    </row>
    <row r="1059" spans="1:22" x14ac:dyDescent="0.25">
      <c r="A1059" t="s">
        <v>3812</v>
      </c>
      <c r="B1059" s="1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  <c r="O1059" t="str">
        <f>IF(OR($N1059&lt;EDA_Summary!$B$14,$N1059&gt;EDA_Summary!$B$15), "Outlier", "Normal")</f>
        <v>Normal</v>
      </c>
      <c r="S1059">
        <v>3</v>
      </c>
      <c r="T1059">
        <v>428.88</v>
      </c>
      <c r="U1059">
        <v>3</v>
      </c>
      <c r="V1059">
        <v>1286.6400000000001</v>
      </c>
    </row>
    <row r="1060" spans="1:22" x14ac:dyDescent="0.25">
      <c r="A1060" t="s">
        <v>3815</v>
      </c>
      <c r="B1060" s="1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  <c r="O1060" t="str">
        <f>IF(OR($N1060&lt;EDA_Summary!$B$14,$N1060&gt;EDA_Summary!$B$15), "Outlier", "Normal")</f>
        <v>Normal</v>
      </c>
      <c r="S1060">
        <v>2</v>
      </c>
      <c r="T1060">
        <v>412.14</v>
      </c>
      <c r="U1060">
        <v>2</v>
      </c>
      <c r="V1060">
        <v>824.28</v>
      </c>
    </row>
    <row r="1061" spans="1:22" x14ac:dyDescent="0.25">
      <c r="A1061" t="s">
        <v>3818</v>
      </c>
      <c r="B1061" s="1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  <c r="O1061" t="str">
        <f>IF(OR($N1061&lt;EDA_Summary!$B$14,$N1061&gt;EDA_Summary!$B$15), "Outlier", "Normal")</f>
        <v>Normal</v>
      </c>
      <c r="S1061">
        <v>1</v>
      </c>
      <c r="T1061">
        <v>265.64</v>
      </c>
      <c r="U1061">
        <v>3</v>
      </c>
      <c r="V1061">
        <v>265.64</v>
      </c>
    </row>
    <row r="1062" spans="1:22" x14ac:dyDescent="0.25">
      <c r="A1062" t="s">
        <v>3822</v>
      </c>
      <c r="B1062" s="1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  <c r="O1062" t="str">
        <f>IF(OR($N1062&lt;EDA_Summary!$B$14,$N1062&gt;EDA_Summary!$B$15), "Outlier", "Normal")</f>
        <v>Normal</v>
      </c>
      <c r="S1062">
        <v>2</v>
      </c>
      <c r="T1062">
        <v>273.43</v>
      </c>
      <c r="U1062">
        <v>7</v>
      </c>
      <c r="V1062">
        <v>546.86</v>
      </c>
    </row>
    <row r="1063" spans="1:22" x14ac:dyDescent="0.25">
      <c r="A1063" t="s">
        <v>3825</v>
      </c>
      <c r="B1063" s="1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  <c r="O1063" t="str">
        <f>IF(OR($N1063&lt;EDA_Summary!$B$14,$N1063&gt;EDA_Summary!$B$15), "Outlier", "Normal")</f>
        <v>Normal</v>
      </c>
      <c r="S1063">
        <v>5</v>
      </c>
      <c r="T1063">
        <v>131.69999999999999</v>
      </c>
      <c r="U1063">
        <v>8</v>
      </c>
      <c r="V1063">
        <v>658.5</v>
      </c>
    </row>
    <row r="1064" spans="1:22" x14ac:dyDescent="0.25">
      <c r="A1064" t="s">
        <v>3828</v>
      </c>
      <c r="B1064" s="1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  <c r="O1064" t="str">
        <f>IF(OR($N1064&lt;EDA_Summary!$B$14,$N1064&gt;EDA_Summary!$B$15), "Outlier", "Normal")</f>
        <v>Normal</v>
      </c>
      <c r="S1064">
        <v>5</v>
      </c>
      <c r="T1064">
        <v>85.52</v>
      </c>
      <c r="U1064">
        <v>5</v>
      </c>
      <c r="V1064">
        <v>427.6</v>
      </c>
    </row>
    <row r="1065" spans="1:22" x14ac:dyDescent="0.25">
      <c r="A1065" t="s">
        <v>3831</v>
      </c>
      <c r="B1065" s="1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  <c r="O1065" t="str">
        <f>IF(OR($N1065&lt;EDA_Summary!$B$14,$N1065&gt;EDA_Summary!$B$15), "Outlier", "Normal")</f>
        <v>Normal</v>
      </c>
      <c r="S1065">
        <v>2</v>
      </c>
      <c r="T1065">
        <v>320.68</v>
      </c>
      <c r="U1065">
        <v>5</v>
      </c>
      <c r="V1065">
        <v>641.36</v>
      </c>
    </row>
    <row r="1066" spans="1:22" x14ac:dyDescent="0.25">
      <c r="A1066" t="s">
        <v>3834</v>
      </c>
      <c r="B1066" s="1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  <c r="O1066" t="str">
        <f>IF(OR($N1066&lt;EDA_Summary!$B$14,$N1066&gt;EDA_Summary!$B$15), "Outlier", "Normal")</f>
        <v>Normal</v>
      </c>
      <c r="S1066">
        <v>4</v>
      </c>
      <c r="T1066">
        <v>198.81</v>
      </c>
      <c r="U1066">
        <v>9</v>
      </c>
      <c r="V1066">
        <v>795.24</v>
      </c>
    </row>
    <row r="1067" spans="1:22" x14ac:dyDescent="0.25">
      <c r="A1067" t="s">
        <v>3837</v>
      </c>
      <c r="B1067" s="1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  <c r="O1067" t="str">
        <f>IF(OR($N1067&lt;EDA_Summary!$B$14,$N1067&gt;EDA_Summary!$B$15), "Outlier", "Normal")</f>
        <v>Outlier</v>
      </c>
      <c r="S1067">
        <v>5</v>
      </c>
      <c r="T1067">
        <v>666.8</v>
      </c>
      <c r="U1067">
        <v>7</v>
      </c>
      <c r="V1067">
        <v>3334</v>
      </c>
    </row>
    <row r="1068" spans="1:22" x14ac:dyDescent="0.25">
      <c r="A1068" t="s">
        <v>3840</v>
      </c>
      <c r="B1068" s="1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  <c r="O1068" t="str">
        <f>IF(OR($N1068&lt;EDA_Summary!$B$14,$N1068&gt;EDA_Summary!$B$15), "Outlier", "Normal")</f>
        <v>Normal</v>
      </c>
      <c r="S1068">
        <v>1</v>
      </c>
      <c r="T1068">
        <v>355.09</v>
      </c>
      <c r="U1068">
        <v>5</v>
      </c>
      <c r="V1068">
        <v>355.09</v>
      </c>
    </row>
    <row r="1069" spans="1:22" x14ac:dyDescent="0.25">
      <c r="A1069" t="s">
        <v>3843</v>
      </c>
      <c r="B1069" s="1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  <c r="O1069" t="str">
        <f>IF(OR($N1069&lt;EDA_Summary!$B$14,$N1069&gt;EDA_Summary!$B$15), "Outlier", "Normal")</f>
        <v>Normal</v>
      </c>
      <c r="S1069">
        <v>2</v>
      </c>
      <c r="T1069">
        <v>316.2</v>
      </c>
      <c r="U1069">
        <v>2</v>
      </c>
      <c r="V1069">
        <v>632.4</v>
      </c>
    </row>
    <row r="1070" spans="1:22" x14ac:dyDescent="0.25">
      <c r="A1070" t="s">
        <v>3846</v>
      </c>
      <c r="B1070" s="1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  <c r="O1070" t="str">
        <f>IF(OR($N1070&lt;EDA_Summary!$B$14,$N1070&gt;EDA_Summary!$B$15), "Outlier", "Normal")</f>
        <v>Normal</v>
      </c>
      <c r="S1070">
        <v>1</v>
      </c>
      <c r="T1070">
        <v>133.38999999999999</v>
      </c>
      <c r="U1070">
        <v>2</v>
      </c>
      <c r="V1070">
        <v>133.38999999999999</v>
      </c>
    </row>
    <row r="1071" spans="1:22" x14ac:dyDescent="0.25">
      <c r="A1071" t="s">
        <v>3850</v>
      </c>
      <c r="B1071" s="1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  <c r="O1071" t="str">
        <f>IF(OR($N1071&lt;EDA_Summary!$B$14,$N1071&gt;EDA_Summary!$B$15), "Outlier", "Normal")</f>
        <v>Normal</v>
      </c>
      <c r="S1071">
        <v>1</v>
      </c>
      <c r="T1071">
        <v>454.23</v>
      </c>
      <c r="U1071">
        <v>3</v>
      </c>
      <c r="V1071">
        <v>454.23</v>
      </c>
    </row>
    <row r="1072" spans="1:22" x14ac:dyDescent="0.25">
      <c r="A1072" t="s">
        <v>3853</v>
      </c>
      <c r="B1072" s="1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  <c r="O1072" t="str">
        <f>IF(OR($N1072&lt;EDA_Summary!$B$14,$N1072&gt;EDA_Summary!$B$15), "Outlier", "Normal")</f>
        <v>Normal</v>
      </c>
      <c r="S1072">
        <v>4</v>
      </c>
      <c r="T1072">
        <v>491.29</v>
      </c>
      <c r="U1072">
        <v>6</v>
      </c>
      <c r="V1072">
        <v>1965.16</v>
      </c>
    </row>
    <row r="1073" spans="1:22" x14ac:dyDescent="0.25">
      <c r="A1073" t="s">
        <v>3856</v>
      </c>
      <c r="B1073" s="1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  <c r="O1073" t="str">
        <f>IF(OR($N1073&lt;EDA_Summary!$B$14,$N1073&gt;EDA_Summary!$B$15), "Outlier", "Normal")</f>
        <v>Normal</v>
      </c>
      <c r="S1073">
        <v>2</v>
      </c>
      <c r="T1073">
        <v>255.14</v>
      </c>
      <c r="U1073">
        <v>2</v>
      </c>
      <c r="V1073">
        <v>510.28</v>
      </c>
    </row>
    <row r="1074" spans="1:22" x14ac:dyDescent="0.25">
      <c r="A1074" t="s">
        <v>3859</v>
      </c>
      <c r="B1074" s="1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  <c r="O1074" t="str">
        <f>IF(OR($N1074&lt;EDA_Summary!$B$14,$N1074&gt;EDA_Summary!$B$15), "Outlier", "Normal")</f>
        <v>Normal</v>
      </c>
      <c r="S1074">
        <v>1</v>
      </c>
      <c r="T1074">
        <v>392.61</v>
      </c>
      <c r="U1074">
        <v>4</v>
      </c>
      <c r="V1074">
        <v>392.61</v>
      </c>
    </row>
    <row r="1075" spans="1:22" x14ac:dyDescent="0.25">
      <c r="A1075" t="s">
        <v>3862</v>
      </c>
      <c r="B1075" s="1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  <c r="O1075" t="str">
        <f>IF(OR($N1075&lt;EDA_Summary!$B$14,$N1075&gt;EDA_Summary!$B$15), "Outlier", "Normal")</f>
        <v>Normal</v>
      </c>
      <c r="S1075">
        <v>4</v>
      </c>
      <c r="T1075">
        <v>362.06</v>
      </c>
      <c r="U1075">
        <v>4</v>
      </c>
      <c r="V1075">
        <v>1448.24</v>
      </c>
    </row>
    <row r="1076" spans="1:22" x14ac:dyDescent="0.25">
      <c r="A1076" t="s">
        <v>3865</v>
      </c>
      <c r="B1076" s="1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  <c r="O1076" t="str">
        <f>IF(OR($N1076&lt;EDA_Summary!$B$14,$N1076&gt;EDA_Summary!$B$15), "Outlier", "Normal")</f>
        <v>Normal</v>
      </c>
      <c r="S1076">
        <v>1</v>
      </c>
      <c r="T1076">
        <v>222.73</v>
      </c>
      <c r="U1076">
        <v>4</v>
      </c>
      <c r="V1076">
        <v>222.73</v>
      </c>
    </row>
    <row r="1077" spans="1:22" x14ac:dyDescent="0.25">
      <c r="A1077" t="s">
        <v>3869</v>
      </c>
      <c r="B1077" s="1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  <c r="O1077" t="str">
        <f>IF(OR($N1077&lt;EDA_Summary!$B$14,$N1077&gt;EDA_Summary!$B$15), "Outlier", "Normal")</f>
        <v>Normal</v>
      </c>
      <c r="S1077">
        <v>2</v>
      </c>
      <c r="T1077">
        <v>552.63</v>
      </c>
      <c r="U1077">
        <v>7</v>
      </c>
      <c r="V1077">
        <v>1105.26</v>
      </c>
    </row>
    <row r="1078" spans="1:22" x14ac:dyDescent="0.25">
      <c r="A1078" t="s">
        <v>3872</v>
      </c>
      <c r="B1078" s="1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  <c r="O1078" t="str">
        <f>IF(OR($N1078&lt;EDA_Summary!$B$14,$N1078&gt;EDA_Summary!$B$15), "Outlier", "Normal")</f>
        <v>Normal</v>
      </c>
      <c r="S1078">
        <v>4</v>
      </c>
      <c r="T1078">
        <v>686.61</v>
      </c>
      <c r="U1078">
        <v>6</v>
      </c>
      <c r="V1078">
        <v>2746.44</v>
      </c>
    </row>
    <row r="1079" spans="1:22" x14ac:dyDescent="0.25">
      <c r="A1079" t="s">
        <v>3875</v>
      </c>
      <c r="B1079" s="1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  <c r="O1079" t="str">
        <f>IF(OR($N1079&lt;EDA_Summary!$B$14,$N1079&gt;EDA_Summary!$B$15), "Outlier", "Normal")</f>
        <v>Normal</v>
      </c>
      <c r="S1079">
        <v>3</v>
      </c>
      <c r="T1079">
        <v>305.16000000000003</v>
      </c>
      <c r="U1079">
        <v>8</v>
      </c>
      <c r="V1079">
        <v>915.48</v>
      </c>
    </row>
    <row r="1080" spans="1:22" x14ac:dyDescent="0.25">
      <c r="A1080" t="s">
        <v>3878</v>
      </c>
      <c r="B1080" s="1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  <c r="O1080" t="str">
        <f>IF(OR($N1080&lt;EDA_Summary!$B$14,$N1080&gt;EDA_Summary!$B$15), "Outlier", "Normal")</f>
        <v>Normal</v>
      </c>
      <c r="S1080">
        <v>1</v>
      </c>
      <c r="T1080">
        <v>41.09</v>
      </c>
      <c r="U1080">
        <v>4</v>
      </c>
      <c r="V1080">
        <v>41.09</v>
      </c>
    </row>
    <row r="1081" spans="1:22" x14ac:dyDescent="0.25">
      <c r="A1081" t="s">
        <v>3881</v>
      </c>
      <c r="B1081" s="1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  <c r="O1081" t="str">
        <f>IF(OR($N1081&lt;EDA_Summary!$B$14,$N1081&gt;EDA_Summary!$B$15), "Outlier", "Normal")</f>
        <v>Normal</v>
      </c>
      <c r="S1081">
        <v>5</v>
      </c>
      <c r="T1081">
        <v>634</v>
      </c>
      <c r="U1081">
        <v>8</v>
      </c>
      <c r="V1081">
        <v>3170</v>
      </c>
    </row>
    <row r="1082" spans="1:22" x14ac:dyDescent="0.25">
      <c r="A1082" t="s">
        <v>3884</v>
      </c>
      <c r="B1082" s="1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  <c r="O1082" t="str">
        <f>IF(OR($N1082&lt;EDA_Summary!$B$14,$N1082&gt;EDA_Summary!$B$15), "Outlier", "Normal")</f>
        <v>Normal</v>
      </c>
      <c r="S1082">
        <v>5</v>
      </c>
      <c r="T1082">
        <v>464.74</v>
      </c>
      <c r="U1082">
        <v>7</v>
      </c>
      <c r="V1082">
        <v>2323.6999999999998</v>
      </c>
    </row>
    <row r="1083" spans="1:22" x14ac:dyDescent="0.25">
      <c r="A1083" t="s">
        <v>3888</v>
      </c>
      <c r="B1083" s="1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  <c r="O1083" t="str">
        <f>IF(OR($N1083&lt;EDA_Summary!$B$14,$N1083&gt;EDA_Summary!$B$15), "Outlier", "Normal")</f>
        <v>Normal</v>
      </c>
      <c r="S1083">
        <v>4</v>
      </c>
      <c r="T1083">
        <v>425.6</v>
      </c>
      <c r="U1083">
        <v>5</v>
      </c>
      <c r="V1083">
        <v>1702.4</v>
      </c>
    </row>
    <row r="1084" spans="1:22" x14ac:dyDescent="0.25">
      <c r="A1084" t="s">
        <v>3891</v>
      </c>
      <c r="B1084" s="1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  <c r="O1084" t="str">
        <f>IF(OR($N1084&lt;EDA_Summary!$B$14,$N1084&gt;EDA_Summary!$B$15), "Outlier", "Normal")</f>
        <v>Normal</v>
      </c>
      <c r="S1084">
        <v>3</v>
      </c>
      <c r="T1084">
        <v>573.22</v>
      </c>
      <c r="U1084">
        <v>5</v>
      </c>
      <c r="V1084">
        <v>1719.66</v>
      </c>
    </row>
    <row r="1085" spans="1:22" x14ac:dyDescent="0.25">
      <c r="A1085" t="s">
        <v>3894</v>
      </c>
      <c r="B1085" s="1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  <c r="O1085" t="str">
        <f>IF(OR($N1085&lt;EDA_Summary!$B$14,$N1085&gt;EDA_Summary!$B$15), "Outlier", "Normal")</f>
        <v>Normal</v>
      </c>
      <c r="S1085">
        <v>1</v>
      </c>
      <c r="T1085">
        <v>123.28</v>
      </c>
      <c r="U1085">
        <v>3</v>
      </c>
      <c r="V1085">
        <v>123.28</v>
      </c>
    </row>
    <row r="1086" spans="1:22" x14ac:dyDescent="0.25">
      <c r="A1086" t="s">
        <v>3897</v>
      </c>
      <c r="B1086" s="1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  <c r="O1086" t="str">
        <f>IF(OR($N1086&lt;EDA_Summary!$B$14,$N1086&gt;EDA_Summary!$B$15), "Outlier", "Normal")</f>
        <v>Normal</v>
      </c>
      <c r="S1086">
        <v>1</v>
      </c>
      <c r="T1086">
        <v>70.819999999999993</v>
      </c>
      <c r="U1086">
        <v>1</v>
      </c>
      <c r="V1086">
        <v>70.819999999999993</v>
      </c>
    </row>
    <row r="1087" spans="1:22" x14ac:dyDescent="0.25">
      <c r="A1087" t="s">
        <v>3900</v>
      </c>
      <c r="B1087" s="1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  <c r="O1087" t="str">
        <f>IF(OR($N1087&lt;EDA_Summary!$B$14,$N1087&gt;EDA_Summary!$B$15), "Outlier", "Normal")</f>
        <v>Normal</v>
      </c>
      <c r="S1087">
        <v>2</v>
      </c>
      <c r="T1087">
        <v>646.69000000000005</v>
      </c>
      <c r="U1087">
        <v>7</v>
      </c>
      <c r="V1087">
        <v>1293.3800000000001</v>
      </c>
    </row>
    <row r="1088" spans="1:22" x14ac:dyDescent="0.25">
      <c r="A1088" t="s">
        <v>3903</v>
      </c>
      <c r="B1088" s="1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  <c r="O1088" t="str">
        <f>IF(OR($N1088&lt;EDA_Summary!$B$14,$N1088&gt;EDA_Summary!$B$15), "Outlier", "Normal")</f>
        <v>Normal</v>
      </c>
      <c r="S1088">
        <v>2</v>
      </c>
      <c r="T1088">
        <v>513.41999999999996</v>
      </c>
      <c r="U1088">
        <v>5</v>
      </c>
      <c r="V1088">
        <v>1026.8399999999999</v>
      </c>
    </row>
    <row r="1089" spans="1:22" x14ac:dyDescent="0.25">
      <c r="A1089" t="s">
        <v>3907</v>
      </c>
      <c r="B1089" s="1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  <c r="O1089" t="str">
        <f>IF(OR($N1089&lt;EDA_Summary!$B$14,$N1089&gt;EDA_Summary!$B$15), "Outlier", "Normal")</f>
        <v>Normal</v>
      </c>
      <c r="S1089">
        <v>4</v>
      </c>
      <c r="T1089">
        <v>693.07</v>
      </c>
      <c r="U1089">
        <v>8</v>
      </c>
      <c r="V1089">
        <v>2772.28</v>
      </c>
    </row>
    <row r="1090" spans="1:22" x14ac:dyDescent="0.25">
      <c r="A1090" t="s">
        <v>3911</v>
      </c>
      <c r="B1090" s="1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  <c r="O1090" t="str">
        <f>IF(OR($N1090&lt;EDA_Summary!$B$14,$N1090&gt;EDA_Summary!$B$15), "Outlier", "Normal")</f>
        <v>Normal</v>
      </c>
      <c r="S1090">
        <v>3</v>
      </c>
      <c r="T1090">
        <v>491.43</v>
      </c>
      <c r="U1090">
        <v>6</v>
      </c>
      <c r="V1090">
        <v>1474.29</v>
      </c>
    </row>
    <row r="1091" spans="1:22" x14ac:dyDescent="0.25">
      <c r="A1091" t="s">
        <v>3915</v>
      </c>
      <c r="B1091" s="1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  <c r="O1091" t="str">
        <f>IF(OR($N1091&lt;EDA_Summary!$B$14,$N1091&gt;EDA_Summary!$B$15), "Outlier", "Normal")</f>
        <v>Normal</v>
      </c>
      <c r="S1091">
        <v>2</v>
      </c>
      <c r="T1091">
        <v>599.74</v>
      </c>
      <c r="U1091">
        <v>2</v>
      </c>
      <c r="V1091">
        <v>1199.48</v>
      </c>
    </row>
    <row r="1092" spans="1:22" x14ac:dyDescent="0.25">
      <c r="A1092" t="s">
        <v>3918</v>
      </c>
      <c r="B1092" s="1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  <c r="O1092" t="str">
        <f>IF(OR($N1092&lt;EDA_Summary!$B$14,$N1092&gt;EDA_Summary!$B$15), "Outlier", "Normal")</f>
        <v>Normal</v>
      </c>
      <c r="S1092">
        <v>2</v>
      </c>
      <c r="T1092">
        <v>650.25</v>
      </c>
      <c r="U1092">
        <v>6</v>
      </c>
      <c r="V1092">
        <v>1300.5</v>
      </c>
    </row>
    <row r="1093" spans="1:22" x14ac:dyDescent="0.25">
      <c r="A1093" t="s">
        <v>3921</v>
      </c>
      <c r="B1093" s="1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  <c r="O1093" t="str">
        <f>IF(OR($N1093&lt;EDA_Summary!$B$14,$N1093&gt;EDA_Summary!$B$15), "Outlier", "Normal")</f>
        <v>Normal</v>
      </c>
      <c r="S1093">
        <v>3</v>
      </c>
      <c r="T1093">
        <v>209.48</v>
      </c>
      <c r="U1093">
        <v>4</v>
      </c>
      <c r="V1093">
        <v>628.43999999999994</v>
      </c>
    </row>
    <row r="1094" spans="1:22" x14ac:dyDescent="0.25">
      <c r="A1094" t="s">
        <v>3924</v>
      </c>
      <c r="B1094" s="1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  <c r="O1094" t="str">
        <f>IF(OR($N1094&lt;EDA_Summary!$B$14,$N1094&gt;EDA_Summary!$B$15), "Outlier", "Normal")</f>
        <v>Normal</v>
      </c>
      <c r="S1094">
        <v>5</v>
      </c>
      <c r="T1094">
        <v>209.2</v>
      </c>
      <c r="U1094">
        <v>6</v>
      </c>
      <c r="V1094">
        <v>1046</v>
      </c>
    </row>
    <row r="1095" spans="1:22" x14ac:dyDescent="0.25">
      <c r="A1095" t="s">
        <v>3927</v>
      </c>
      <c r="B1095" s="1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  <c r="O1095" t="str">
        <f>IF(OR($N1095&lt;EDA_Summary!$B$14,$N1095&gt;EDA_Summary!$B$15), "Outlier", "Normal")</f>
        <v>Normal</v>
      </c>
      <c r="S1095">
        <v>4</v>
      </c>
      <c r="T1095">
        <v>197.36</v>
      </c>
      <c r="U1095">
        <v>9</v>
      </c>
      <c r="V1095">
        <v>789.44</v>
      </c>
    </row>
    <row r="1096" spans="1:22" x14ac:dyDescent="0.25">
      <c r="A1096" t="s">
        <v>3931</v>
      </c>
      <c r="B1096" s="1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  <c r="O1096" t="str">
        <f>IF(OR($N1096&lt;EDA_Summary!$B$14,$N1096&gt;EDA_Summary!$B$15), "Outlier", "Normal")</f>
        <v>Normal</v>
      </c>
      <c r="S1096">
        <v>4</v>
      </c>
      <c r="T1096">
        <v>648.91</v>
      </c>
      <c r="U1096">
        <v>6</v>
      </c>
      <c r="V1096">
        <v>2595.64</v>
      </c>
    </row>
    <row r="1097" spans="1:22" x14ac:dyDescent="0.25">
      <c r="A1097" t="s">
        <v>3935</v>
      </c>
      <c r="B1097" s="1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  <c r="O1097" t="str">
        <f>IF(OR($N1097&lt;EDA_Summary!$B$14,$N1097&gt;EDA_Summary!$B$15), "Outlier", "Normal")</f>
        <v>Normal</v>
      </c>
      <c r="S1097">
        <v>2</v>
      </c>
      <c r="T1097">
        <v>441.54</v>
      </c>
      <c r="U1097">
        <v>2</v>
      </c>
      <c r="V1097">
        <v>883.08</v>
      </c>
    </row>
    <row r="1098" spans="1:22" x14ac:dyDescent="0.25">
      <c r="A1098" t="s">
        <v>3939</v>
      </c>
      <c r="B1098" s="1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  <c r="O1098" t="str">
        <f>IF(OR($N1098&lt;EDA_Summary!$B$14,$N1098&gt;EDA_Summary!$B$15), "Outlier", "Normal")</f>
        <v>Normal</v>
      </c>
      <c r="S1098">
        <v>2</v>
      </c>
      <c r="T1098">
        <v>464.92</v>
      </c>
      <c r="U1098">
        <v>2</v>
      </c>
      <c r="V1098">
        <v>929.84</v>
      </c>
    </row>
    <row r="1099" spans="1:22" x14ac:dyDescent="0.25">
      <c r="A1099" t="s">
        <v>3943</v>
      </c>
      <c r="B1099" s="1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  <c r="O1099" t="str">
        <f>IF(OR($N1099&lt;EDA_Summary!$B$14,$N1099&gt;EDA_Summary!$B$15), "Outlier", "Normal")</f>
        <v>Normal</v>
      </c>
      <c r="S1099">
        <v>5</v>
      </c>
      <c r="T1099">
        <v>506.45</v>
      </c>
      <c r="U1099">
        <v>7</v>
      </c>
      <c r="V1099">
        <v>2532.25</v>
      </c>
    </row>
    <row r="1100" spans="1:22" x14ac:dyDescent="0.25">
      <c r="A1100" t="s">
        <v>3947</v>
      </c>
      <c r="B1100" s="1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  <c r="O1100" t="str">
        <f>IF(OR($N1100&lt;EDA_Summary!$B$14,$N1100&gt;EDA_Summary!$B$15), "Outlier", "Normal")</f>
        <v>Normal</v>
      </c>
      <c r="S1100">
        <v>4</v>
      </c>
      <c r="T1100">
        <v>255.86</v>
      </c>
      <c r="U1100">
        <v>7</v>
      </c>
      <c r="V1100">
        <v>1023.44</v>
      </c>
    </row>
    <row r="1101" spans="1:22" x14ac:dyDescent="0.25">
      <c r="A1101" t="s">
        <v>3951</v>
      </c>
      <c r="B1101" s="1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  <c r="O1101" t="str">
        <f>IF(OR($N1101&lt;EDA_Summary!$B$14,$N1101&gt;EDA_Summary!$B$15), "Outlier", "Normal")</f>
        <v>Normal</v>
      </c>
      <c r="S1101">
        <v>2</v>
      </c>
      <c r="T1101">
        <v>125.23</v>
      </c>
      <c r="U1101">
        <v>3</v>
      </c>
      <c r="V1101">
        <v>250.46</v>
      </c>
    </row>
    <row r="1102" spans="1:22" x14ac:dyDescent="0.25">
      <c r="A1102" t="s">
        <v>3954</v>
      </c>
      <c r="B1102" s="1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  <c r="O1102" t="str">
        <f>IF(OR($N1102&lt;EDA_Summary!$B$14,$N1102&gt;EDA_Summary!$B$15), "Outlier", "Normal")</f>
        <v>Normal</v>
      </c>
      <c r="S1102">
        <v>5</v>
      </c>
      <c r="T1102">
        <v>38.11</v>
      </c>
      <c r="U1102">
        <v>6</v>
      </c>
      <c r="V1102">
        <v>190.55</v>
      </c>
    </row>
    <row r="1103" spans="1:22" x14ac:dyDescent="0.25">
      <c r="A1103" t="s">
        <v>3958</v>
      </c>
      <c r="B1103" s="1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  <c r="O1103" t="str">
        <f>IF(OR($N1103&lt;EDA_Summary!$B$14,$N1103&gt;EDA_Summary!$B$15), "Outlier", "Normal")</f>
        <v>Normal</v>
      </c>
      <c r="S1103">
        <v>3</v>
      </c>
      <c r="T1103">
        <v>161.97</v>
      </c>
      <c r="U1103">
        <v>4</v>
      </c>
      <c r="V1103">
        <v>485.91</v>
      </c>
    </row>
    <row r="1104" spans="1:22" x14ac:dyDescent="0.25">
      <c r="A1104" t="s">
        <v>3961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  <c r="O1104" t="str">
        <f>IF(OR($N1104&lt;EDA_Summary!$B$14,$N1104&gt;EDA_Summary!$B$15), "Outlier", "Normal")</f>
        <v>Normal</v>
      </c>
      <c r="S1104">
        <v>4</v>
      </c>
      <c r="T1104">
        <v>347.17</v>
      </c>
      <c r="U1104">
        <v>8</v>
      </c>
      <c r="V1104">
        <v>1388.68</v>
      </c>
    </row>
    <row r="1105" spans="1:22" x14ac:dyDescent="0.25">
      <c r="A1105" t="s">
        <v>3963</v>
      </c>
      <c r="B1105" s="1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  <c r="O1105" t="str">
        <f>IF(OR($N1105&lt;EDA_Summary!$B$14,$N1105&gt;EDA_Summary!$B$15), "Outlier", "Normal")</f>
        <v>Normal</v>
      </c>
      <c r="S1105">
        <v>4</v>
      </c>
      <c r="T1105">
        <v>276.32</v>
      </c>
      <c r="U1105">
        <v>5</v>
      </c>
      <c r="V1105">
        <v>1105.28</v>
      </c>
    </row>
    <row r="1106" spans="1:22" x14ac:dyDescent="0.25">
      <c r="A1106" t="s">
        <v>3966</v>
      </c>
      <c r="B1106" s="1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  <c r="O1106" t="str">
        <f>IF(OR($N1106&lt;EDA_Summary!$B$14,$N1106&gt;EDA_Summary!$B$15), "Outlier", "Normal")</f>
        <v>Normal</v>
      </c>
      <c r="S1106">
        <v>4</v>
      </c>
      <c r="T1106">
        <v>314.76</v>
      </c>
      <c r="U1106">
        <v>8</v>
      </c>
      <c r="V1106">
        <v>1259.04</v>
      </c>
    </row>
    <row r="1107" spans="1:22" x14ac:dyDescent="0.25">
      <c r="A1107" t="s">
        <v>3970</v>
      </c>
      <c r="B1107" s="1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  <c r="O1107" t="str">
        <f>IF(OR($N1107&lt;EDA_Summary!$B$14,$N1107&gt;EDA_Summary!$B$15), "Outlier", "Normal")</f>
        <v>Normal</v>
      </c>
      <c r="S1107">
        <v>3</v>
      </c>
      <c r="T1107">
        <v>475.69</v>
      </c>
      <c r="U1107">
        <v>3</v>
      </c>
      <c r="V1107">
        <v>1427.07</v>
      </c>
    </row>
    <row r="1108" spans="1:22" x14ac:dyDescent="0.25">
      <c r="A1108" t="s">
        <v>3973</v>
      </c>
      <c r="B1108" s="1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  <c r="O1108" t="str">
        <f>IF(OR($N1108&lt;EDA_Summary!$B$14,$N1108&gt;EDA_Summary!$B$15), "Outlier", "Normal")</f>
        <v>Normal</v>
      </c>
      <c r="S1108">
        <v>1</v>
      </c>
      <c r="T1108">
        <v>372.8</v>
      </c>
      <c r="U1108">
        <v>6</v>
      </c>
      <c r="V1108">
        <v>372.8</v>
      </c>
    </row>
    <row r="1109" spans="1:22" x14ac:dyDescent="0.25">
      <c r="A1109" t="s">
        <v>3976</v>
      </c>
      <c r="B1109" s="1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  <c r="O1109" t="str">
        <f>IF(OR($N1109&lt;EDA_Summary!$B$14,$N1109&gt;EDA_Summary!$B$15), "Outlier", "Normal")</f>
        <v>Normal</v>
      </c>
      <c r="S1109">
        <v>2</v>
      </c>
      <c r="T1109">
        <v>63.21</v>
      </c>
      <c r="U1109">
        <v>4</v>
      </c>
      <c r="V1109">
        <v>126.42</v>
      </c>
    </row>
    <row r="1110" spans="1:22" x14ac:dyDescent="0.25">
      <c r="A1110" t="s">
        <v>3979</v>
      </c>
      <c r="B1110" s="1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  <c r="O1110" t="str">
        <f>IF(OR($N1110&lt;EDA_Summary!$B$14,$N1110&gt;EDA_Summary!$B$15), "Outlier", "Normal")</f>
        <v>Normal</v>
      </c>
      <c r="S1110">
        <v>1</v>
      </c>
      <c r="T1110">
        <v>634.94000000000005</v>
      </c>
      <c r="U1110">
        <v>5</v>
      </c>
      <c r="V1110">
        <v>634.94000000000005</v>
      </c>
    </row>
    <row r="1111" spans="1:22" x14ac:dyDescent="0.25">
      <c r="A1111" t="s">
        <v>3983</v>
      </c>
      <c r="B1111" s="1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  <c r="O1111" t="str">
        <f>IF(OR($N1111&lt;EDA_Summary!$B$14,$N1111&gt;EDA_Summary!$B$15), "Outlier", "Normal")</f>
        <v>Normal</v>
      </c>
      <c r="S1111">
        <v>4</v>
      </c>
      <c r="T1111">
        <v>77.47</v>
      </c>
      <c r="U1111">
        <v>7</v>
      </c>
      <c r="V1111">
        <v>309.88</v>
      </c>
    </row>
    <row r="1112" spans="1:22" x14ac:dyDescent="0.25">
      <c r="A1112" t="s">
        <v>3986</v>
      </c>
      <c r="B1112" s="1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  <c r="O1112" t="str">
        <f>IF(OR($N1112&lt;EDA_Summary!$B$14,$N1112&gt;EDA_Summary!$B$15), "Outlier", "Normal")</f>
        <v>Normal</v>
      </c>
      <c r="S1112">
        <v>3</v>
      </c>
      <c r="T1112">
        <v>84.31</v>
      </c>
      <c r="U1112">
        <v>3</v>
      </c>
      <c r="V1112">
        <v>252.93</v>
      </c>
    </row>
    <row r="1113" spans="1:22" x14ac:dyDescent="0.25">
      <c r="A1113" t="s">
        <v>3989</v>
      </c>
      <c r="B1113" s="1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  <c r="O1113" t="str">
        <f>IF(OR($N1113&lt;EDA_Summary!$B$14,$N1113&gt;EDA_Summary!$B$15), "Outlier", "Normal")</f>
        <v>Normal</v>
      </c>
      <c r="S1113">
        <v>4</v>
      </c>
      <c r="T1113">
        <v>234.45</v>
      </c>
      <c r="U1113">
        <v>9</v>
      </c>
      <c r="V1113">
        <v>937.8</v>
      </c>
    </row>
    <row r="1114" spans="1:22" x14ac:dyDescent="0.25">
      <c r="A1114" t="s">
        <v>3993</v>
      </c>
      <c r="B1114" s="1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  <c r="O1114" t="str">
        <f>IF(OR($N1114&lt;EDA_Summary!$B$14,$N1114&gt;EDA_Summary!$B$15), "Outlier", "Normal")</f>
        <v>Normal</v>
      </c>
      <c r="S1114">
        <v>1</v>
      </c>
      <c r="T1114">
        <v>356.81</v>
      </c>
      <c r="U1114">
        <v>1</v>
      </c>
      <c r="V1114">
        <v>356.81</v>
      </c>
    </row>
    <row r="1115" spans="1:22" x14ac:dyDescent="0.25">
      <c r="A1115" t="s">
        <v>3996</v>
      </c>
      <c r="B1115" s="1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  <c r="O1115" t="str">
        <f>IF(OR($N1115&lt;EDA_Summary!$B$14,$N1115&gt;EDA_Summary!$B$15), "Outlier", "Normal")</f>
        <v>Normal</v>
      </c>
      <c r="S1115">
        <v>4</v>
      </c>
      <c r="T1115">
        <v>209.99</v>
      </c>
      <c r="U1115">
        <v>8</v>
      </c>
      <c r="V1115">
        <v>839.96</v>
      </c>
    </row>
    <row r="1116" spans="1:22" x14ac:dyDescent="0.25">
      <c r="A1116" t="s">
        <v>3999</v>
      </c>
      <c r="B1116" s="1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  <c r="O1116" t="str">
        <f>IF(OR($N1116&lt;EDA_Summary!$B$14,$N1116&gt;EDA_Summary!$B$15), "Outlier", "Normal")</f>
        <v>Normal</v>
      </c>
      <c r="S1116">
        <v>3</v>
      </c>
      <c r="T1116">
        <v>659.88</v>
      </c>
      <c r="U1116">
        <v>3</v>
      </c>
      <c r="V1116">
        <v>1979.64</v>
      </c>
    </row>
    <row r="1117" spans="1:22" x14ac:dyDescent="0.25">
      <c r="A1117" t="s">
        <v>4002</v>
      </c>
      <c r="B1117" s="1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  <c r="O1117" t="str">
        <f>IF(OR($N1117&lt;EDA_Summary!$B$14,$N1117&gt;EDA_Summary!$B$15), "Outlier", "Normal")</f>
        <v>Normal</v>
      </c>
      <c r="S1117">
        <v>2</v>
      </c>
      <c r="T1117">
        <v>336.32</v>
      </c>
      <c r="U1117">
        <v>3</v>
      </c>
      <c r="V1117">
        <v>672.64</v>
      </c>
    </row>
    <row r="1118" spans="1:22" x14ac:dyDescent="0.25">
      <c r="A1118" t="s">
        <v>4005</v>
      </c>
      <c r="B1118" s="1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  <c r="O1118" t="str">
        <f>IF(OR($N1118&lt;EDA_Summary!$B$14,$N1118&gt;EDA_Summary!$B$15), "Outlier", "Normal")</f>
        <v>Normal</v>
      </c>
      <c r="S1118">
        <v>2</v>
      </c>
      <c r="T1118">
        <v>531.49</v>
      </c>
      <c r="U1118">
        <v>7</v>
      </c>
      <c r="V1118">
        <v>1062.98</v>
      </c>
    </row>
    <row r="1119" spans="1:22" x14ac:dyDescent="0.25">
      <c r="A1119" t="s">
        <v>4008</v>
      </c>
      <c r="B1119" s="1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  <c r="O1119" t="str">
        <f>IF(OR($N1119&lt;EDA_Summary!$B$14,$N1119&gt;EDA_Summary!$B$15), "Outlier", "Normal")</f>
        <v>Normal</v>
      </c>
      <c r="S1119">
        <v>3</v>
      </c>
      <c r="T1119">
        <v>588.44000000000005</v>
      </c>
      <c r="U1119">
        <v>8</v>
      </c>
      <c r="V1119">
        <v>1765.32</v>
      </c>
    </row>
    <row r="1120" spans="1:22" x14ac:dyDescent="0.25">
      <c r="A1120" t="s">
        <v>4011</v>
      </c>
      <c r="B1120" s="1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  <c r="O1120" t="str">
        <f>IF(OR($N1120&lt;EDA_Summary!$B$14,$N1120&gt;EDA_Summary!$B$15), "Outlier", "Normal")</f>
        <v>Normal</v>
      </c>
      <c r="S1120">
        <v>3</v>
      </c>
      <c r="T1120">
        <v>251.48</v>
      </c>
      <c r="U1120">
        <v>4</v>
      </c>
      <c r="V1120">
        <v>754.43999999999994</v>
      </c>
    </row>
    <row r="1121" spans="1:22" x14ac:dyDescent="0.25">
      <c r="A1121" t="s">
        <v>4014</v>
      </c>
      <c r="B1121" s="1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  <c r="O1121" t="str">
        <f>IF(OR($N1121&lt;EDA_Summary!$B$14,$N1121&gt;EDA_Summary!$B$15), "Outlier", "Normal")</f>
        <v>Normal</v>
      </c>
      <c r="S1121">
        <v>1</v>
      </c>
      <c r="T1121">
        <v>684.65</v>
      </c>
      <c r="U1121">
        <v>1</v>
      </c>
      <c r="V1121">
        <v>684.65</v>
      </c>
    </row>
    <row r="1122" spans="1:22" x14ac:dyDescent="0.25">
      <c r="A1122" t="s">
        <v>4017</v>
      </c>
      <c r="B1122" s="1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  <c r="O1122" t="str">
        <f>IF(OR($N1122&lt;EDA_Summary!$B$14,$N1122&gt;EDA_Summary!$B$15), "Outlier", "Normal")</f>
        <v>Normal</v>
      </c>
      <c r="S1122">
        <v>1</v>
      </c>
      <c r="T1122">
        <v>195.86</v>
      </c>
      <c r="U1122">
        <v>3</v>
      </c>
      <c r="V1122">
        <v>195.86</v>
      </c>
    </row>
    <row r="1123" spans="1:22" x14ac:dyDescent="0.25">
      <c r="A1123" t="s">
        <v>4020</v>
      </c>
      <c r="B1123" s="1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  <c r="O1123" t="str">
        <f>IF(OR($N1123&lt;EDA_Summary!$B$14,$N1123&gt;EDA_Summary!$B$15), "Outlier", "Normal")</f>
        <v>Normal</v>
      </c>
      <c r="S1123">
        <v>3</v>
      </c>
      <c r="T1123">
        <v>50.34</v>
      </c>
      <c r="U1123">
        <v>3</v>
      </c>
      <c r="V1123">
        <v>151.02000000000001</v>
      </c>
    </row>
    <row r="1124" spans="1:22" x14ac:dyDescent="0.25">
      <c r="A1124" t="s">
        <v>4023</v>
      </c>
      <c r="B1124" s="1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  <c r="O1124" t="str">
        <f>IF(OR($N1124&lt;EDA_Summary!$B$14,$N1124&gt;EDA_Summary!$B$15), "Outlier", "Normal")</f>
        <v>Outlier</v>
      </c>
      <c r="S1124">
        <v>5</v>
      </c>
      <c r="T1124">
        <v>678.19</v>
      </c>
      <c r="U1124">
        <v>8</v>
      </c>
      <c r="V1124">
        <v>3390.95</v>
      </c>
    </row>
    <row r="1125" spans="1:22" x14ac:dyDescent="0.25">
      <c r="A1125" t="s">
        <v>4025</v>
      </c>
      <c r="B1125" s="1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  <c r="O1125" t="str">
        <f>IF(OR($N1125&lt;EDA_Summary!$B$14,$N1125&gt;EDA_Summary!$B$15), "Outlier", "Normal")</f>
        <v>Normal</v>
      </c>
      <c r="S1125">
        <v>3</v>
      </c>
      <c r="T1125">
        <v>554.25</v>
      </c>
      <c r="U1125">
        <v>6</v>
      </c>
      <c r="V1125">
        <v>1662.75</v>
      </c>
    </row>
    <row r="1126" spans="1:22" x14ac:dyDescent="0.25">
      <c r="A1126" t="s">
        <v>4029</v>
      </c>
      <c r="B1126" s="1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  <c r="O1126" t="str">
        <f>IF(OR($N1126&lt;EDA_Summary!$B$14,$N1126&gt;EDA_Summary!$B$15), "Outlier", "Normal")</f>
        <v>Normal</v>
      </c>
      <c r="S1126">
        <v>4</v>
      </c>
      <c r="T1126">
        <v>576.87</v>
      </c>
      <c r="U1126">
        <v>5</v>
      </c>
      <c r="V1126">
        <v>2307.48</v>
      </c>
    </row>
    <row r="1127" spans="1:22" x14ac:dyDescent="0.25">
      <c r="A1127" t="s">
        <v>4033</v>
      </c>
      <c r="B1127" s="1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  <c r="O1127" t="str">
        <f>IF(OR($N1127&lt;EDA_Summary!$B$14,$N1127&gt;EDA_Summary!$B$15), "Outlier", "Normal")</f>
        <v>Normal</v>
      </c>
      <c r="S1127">
        <v>4</v>
      </c>
      <c r="T1127">
        <v>408.36</v>
      </c>
      <c r="U1127">
        <v>4</v>
      </c>
      <c r="V1127">
        <v>1633.44</v>
      </c>
    </row>
    <row r="1128" spans="1:22" x14ac:dyDescent="0.25">
      <c r="A1128" t="s">
        <v>4036</v>
      </c>
      <c r="B1128" s="1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  <c r="O1128" t="str">
        <f>IF(OR($N1128&lt;EDA_Summary!$B$14,$N1128&gt;EDA_Summary!$B$15), "Outlier", "Normal")</f>
        <v>Normal</v>
      </c>
      <c r="S1128">
        <v>5</v>
      </c>
      <c r="T1128">
        <v>190.11</v>
      </c>
      <c r="U1128">
        <v>7</v>
      </c>
      <c r="V1128">
        <v>950.55000000000007</v>
      </c>
    </row>
    <row r="1129" spans="1:22" x14ac:dyDescent="0.25">
      <c r="A1129" t="s">
        <v>4040</v>
      </c>
      <c r="B1129" s="1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  <c r="O1129" t="str">
        <f>IF(OR($N1129&lt;EDA_Summary!$B$14,$N1129&gt;EDA_Summary!$B$15), "Outlier", "Normal")</f>
        <v>Normal</v>
      </c>
      <c r="S1129">
        <v>3</v>
      </c>
      <c r="T1129">
        <v>602.75</v>
      </c>
      <c r="U1129">
        <v>6</v>
      </c>
      <c r="V1129">
        <v>1808.25</v>
      </c>
    </row>
    <row r="1130" spans="1:22" x14ac:dyDescent="0.25">
      <c r="A1130" t="s">
        <v>4043</v>
      </c>
      <c r="B1130" s="1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  <c r="O1130" t="str">
        <f>IF(OR($N1130&lt;EDA_Summary!$B$14,$N1130&gt;EDA_Summary!$B$15), "Outlier", "Normal")</f>
        <v>Normal</v>
      </c>
      <c r="S1130">
        <v>3</v>
      </c>
      <c r="T1130">
        <v>646.79</v>
      </c>
      <c r="U1130">
        <v>5</v>
      </c>
      <c r="V1130">
        <v>1940.37</v>
      </c>
    </row>
    <row r="1131" spans="1:22" x14ac:dyDescent="0.25">
      <c r="A1131" t="s">
        <v>4046</v>
      </c>
      <c r="B1131" s="1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  <c r="O1131" t="str">
        <f>IF(OR($N1131&lt;EDA_Summary!$B$14,$N1131&gt;EDA_Summary!$B$15), "Outlier", "Normal")</f>
        <v>Normal</v>
      </c>
      <c r="S1131">
        <v>4</v>
      </c>
      <c r="T1131">
        <v>418.71</v>
      </c>
      <c r="U1131">
        <v>8</v>
      </c>
      <c r="V1131">
        <v>1674.84</v>
      </c>
    </row>
    <row r="1132" spans="1:22" x14ac:dyDescent="0.25">
      <c r="A1132" t="s">
        <v>4049</v>
      </c>
      <c r="B1132" s="1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  <c r="O1132" t="str">
        <f>IF(OR($N1132&lt;EDA_Summary!$B$14,$N1132&gt;EDA_Summary!$B$15), "Outlier", "Normal")</f>
        <v>Normal</v>
      </c>
      <c r="S1132">
        <v>2</v>
      </c>
      <c r="T1132">
        <v>323.45</v>
      </c>
      <c r="U1132">
        <v>5</v>
      </c>
      <c r="V1132">
        <v>646.9</v>
      </c>
    </row>
    <row r="1133" spans="1:22" x14ac:dyDescent="0.25">
      <c r="A1133" t="s">
        <v>4052</v>
      </c>
      <c r="B1133" s="1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  <c r="O1133" t="str">
        <f>IF(OR($N1133&lt;EDA_Summary!$B$14,$N1133&gt;EDA_Summary!$B$15), "Outlier", "Normal")</f>
        <v>Normal</v>
      </c>
      <c r="S1133">
        <v>1</v>
      </c>
      <c r="T1133">
        <v>694.5</v>
      </c>
      <c r="U1133">
        <v>3</v>
      </c>
      <c r="V1133">
        <v>694.5</v>
      </c>
    </row>
    <row r="1134" spans="1:22" x14ac:dyDescent="0.25">
      <c r="A1134" t="s">
        <v>4055</v>
      </c>
      <c r="B1134" s="1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  <c r="O1134" t="str">
        <f>IF(OR($N1134&lt;EDA_Summary!$B$14,$N1134&gt;EDA_Summary!$B$15), "Outlier", "Normal")</f>
        <v>Normal</v>
      </c>
      <c r="S1134">
        <v>2</v>
      </c>
      <c r="T1134">
        <v>337.32</v>
      </c>
      <c r="U1134">
        <v>4</v>
      </c>
      <c r="V1134">
        <v>674.64</v>
      </c>
    </row>
    <row r="1135" spans="1:22" x14ac:dyDescent="0.25">
      <c r="A1135" t="s">
        <v>4058</v>
      </c>
      <c r="B1135" s="1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  <c r="O1135" t="str">
        <f>IF(OR($N1135&lt;EDA_Summary!$B$14,$N1135&gt;EDA_Summary!$B$15), "Outlier", "Normal")</f>
        <v>Normal</v>
      </c>
      <c r="S1135">
        <v>2</v>
      </c>
      <c r="T1135">
        <v>467.91</v>
      </c>
      <c r="U1135">
        <v>5</v>
      </c>
      <c r="V1135">
        <v>935.82</v>
      </c>
    </row>
    <row r="1136" spans="1:22" x14ac:dyDescent="0.25">
      <c r="A1136" t="s">
        <v>4061</v>
      </c>
      <c r="B1136" s="1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  <c r="O1136" t="str">
        <f>IF(OR($N1136&lt;EDA_Summary!$B$14,$N1136&gt;EDA_Summary!$B$15), "Outlier", "Normal")</f>
        <v>Normal</v>
      </c>
      <c r="S1136">
        <v>4</v>
      </c>
      <c r="T1136">
        <v>38.28</v>
      </c>
      <c r="U1136">
        <v>4</v>
      </c>
      <c r="V1136">
        <v>153.12</v>
      </c>
    </row>
    <row r="1137" spans="1:22" x14ac:dyDescent="0.25">
      <c r="A1137" t="s">
        <v>4065</v>
      </c>
      <c r="B1137" s="1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  <c r="O1137" t="str">
        <f>IF(OR($N1137&lt;EDA_Summary!$B$14,$N1137&gt;EDA_Summary!$B$15), "Outlier", "Normal")</f>
        <v>Normal</v>
      </c>
      <c r="S1137">
        <v>2</v>
      </c>
      <c r="T1137">
        <v>73.41</v>
      </c>
      <c r="U1137">
        <v>2</v>
      </c>
      <c r="V1137">
        <v>146.82</v>
      </c>
    </row>
    <row r="1138" spans="1:22" x14ac:dyDescent="0.25">
      <c r="A1138" t="s">
        <v>4068</v>
      </c>
      <c r="B1138" s="1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  <c r="O1138" t="str">
        <f>IF(OR($N1138&lt;EDA_Summary!$B$14,$N1138&gt;EDA_Summary!$B$15), "Outlier", "Normal")</f>
        <v>Normal</v>
      </c>
      <c r="S1138">
        <v>3</v>
      </c>
      <c r="T1138">
        <v>668.33</v>
      </c>
      <c r="U1138">
        <v>4</v>
      </c>
      <c r="V1138">
        <v>2004.99</v>
      </c>
    </row>
    <row r="1139" spans="1:22" x14ac:dyDescent="0.25">
      <c r="A1139" t="s">
        <v>4071</v>
      </c>
      <c r="B1139" s="1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  <c r="O1139" t="str">
        <f>IF(OR($N1139&lt;EDA_Summary!$B$14,$N1139&gt;EDA_Summary!$B$15), "Outlier", "Normal")</f>
        <v>Normal</v>
      </c>
      <c r="S1139">
        <v>4</v>
      </c>
      <c r="T1139">
        <v>410.21</v>
      </c>
      <c r="U1139">
        <v>5</v>
      </c>
      <c r="V1139">
        <v>1640.84</v>
      </c>
    </row>
    <row r="1140" spans="1:22" x14ac:dyDescent="0.25">
      <c r="A1140" t="s">
        <v>4075</v>
      </c>
      <c r="B1140" s="1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  <c r="O1140" t="str">
        <f>IF(OR($N1140&lt;EDA_Summary!$B$14,$N1140&gt;EDA_Summary!$B$15), "Outlier", "Normal")</f>
        <v>Normal</v>
      </c>
      <c r="S1140">
        <v>4</v>
      </c>
      <c r="T1140">
        <v>294.41000000000003</v>
      </c>
      <c r="U1140">
        <v>4</v>
      </c>
      <c r="V1140">
        <v>1177.6400000000001</v>
      </c>
    </row>
    <row r="1141" spans="1:22" x14ac:dyDescent="0.25">
      <c r="A1141" t="s">
        <v>4078</v>
      </c>
      <c r="B1141" s="1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  <c r="O1141" t="str">
        <f>IF(OR($N1141&lt;EDA_Summary!$B$14,$N1141&gt;EDA_Summary!$B$15), "Outlier", "Normal")</f>
        <v>Normal</v>
      </c>
      <c r="S1141">
        <v>3</v>
      </c>
      <c r="T1141">
        <v>501.82</v>
      </c>
      <c r="U1141">
        <v>4</v>
      </c>
      <c r="V1141">
        <v>1505.46</v>
      </c>
    </row>
    <row r="1142" spans="1:22" x14ac:dyDescent="0.25">
      <c r="A1142" t="s">
        <v>4080</v>
      </c>
      <c r="B1142" s="1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  <c r="O1142" t="str">
        <f>IF(OR($N1142&lt;EDA_Summary!$B$14,$N1142&gt;EDA_Summary!$B$15), "Outlier", "Normal")</f>
        <v>Normal</v>
      </c>
      <c r="S1142">
        <v>2</v>
      </c>
      <c r="T1142">
        <v>552.83000000000004</v>
      </c>
      <c r="U1142">
        <v>3</v>
      </c>
      <c r="V1142">
        <v>1105.6600000000001</v>
      </c>
    </row>
    <row r="1143" spans="1:22" x14ac:dyDescent="0.25">
      <c r="A1143" t="s">
        <v>4083</v>
      </c>
      <c r="B1143" s="1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  <c r="O1143" t="str">
        <f>IF(OR($N1143&lt;EDA_Summary!$B$14,$N1143&gt;EDA_Summary!$B$15), "Outlier", "Normal")</f>
        <v>Normal</v>
      </c>
      <c r="S1143">
        <v>3</v>
      </c>
      <c r="T1143">
        <v>498.66</v>
      </c>
      <c r="U1143">
        <v>6</v>
      </c>
      <c r="V1143">
        <v>1495.98</v>
      </c>
    </row>
    <row r="1144" spans="1:22" x14ac:dyDescent="0.25">
      <c r="A1144" t="s">
        <v>4086</v>
      </c>
      <c r="B1144" s="1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  <c r="O1144" t="str">
        <f>IF(OR($N1144&lt;EDA_Summary!$B$14,$N1144&gt;EDA_Summary!$B$15), "Outlier", "Normal")</f>
        <v>Normal</v>
      </c>
      <c r="S1144">
        <v>4</v>
      </c>
      <c r="T1144">
        <v>695.1</v>
      </c>
      <c r="U1144">
        <v>8</v>
      </c>
      <c r="V1144">
        <v>2780.4</v>
      </c>
    </row>
    <row r="1145" spans="1:22" x14ac:dyDescent="0.25">
      <c r="A1145" t="s">
        <v>4090</v>
      </c>
      <c r="B1145" s="1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  <c r="O1145" t="str">
        <f>IF(OR($N1145&lt;EDA_Summary!$B$14,$N1145&gt;EDA_Summary!$B$15), "Outlier", "Normal")</f>
        <v>Normal</v>
      </c>
      <c r="S1145">
        <v>1</v>
      </c>
      <c r="T1145">
        <v>381.61</v>
      </c>
      <c r="U1145">
        <v>5</v>
      </c>
      <c r="V1145">
        <v>381.61</v>
      </c>
    </row>
    <row r="1146" spans="1:22" x14ac:dyDescent="0.25">
      <c r="A1146" t="s">
        <v>4094</v>
      </c>
      <c r="B1146" s="1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  <c r="O1146" t="str">
        <f>IF(OR($N1146&lt;EDA_Summary!$B$14,$N1146&gt;EDA_Summary!$B$15), "Outlier", "Normal")</f>
        <v>Normal</v>
      </c>
      <c r="S1146">
        <v>5</v>
      </c>
      <c r="T1146">
        <v>507.94</v>
      </c>
      <c r="U1146">
        <v>9</v>
      </c>
      <c r="V1146">
        <v>2539.6999999999998</v>
      </c>
    </row>
    <row r="1147" spans="1:22" x14ac:dyDescent="0.25">
      <c r="A1147" t="s">
        <v>4098</v>
      </c>
      <c r="B1147" s="1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  <c r="O1147" t="str">
        <f>IF(OR($N1147&lt;EDA_Summary!$B$14,$N1147&gt;EDA_Summary!$B$15), "Outlier", "Normal")</f>
        <v>Normal</v>
      </c>
      <c r="S1147">
        <v>3</v>
      </c>
      <c r="T1147">
        <v>571.53</v>
      </c>
      <c r="U1147">
        <v>6</v>
      </c>
      <c r="V1147">
        <v>1714.59</v>
      </c>
    </row>
    <row r="1148" spans="1:22" x14ac:dyDescent="0.25">
      <c r="A1148" t="s">
        <v>4101</v>
      </c>
      <c r="B1148" s="1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  <c r="O1148" t="str">
        <f>IF(OR($N1148&lt;EDA_Summary!$B$14,$N1148&gt;EDA_Summary!$B$15), "Outlier", "Normal")</f>
        <v>Normal</v>
      </c>
      <c r="S1148">
        <v>5</v>
      </c>
      <c r="T1148">
        <v>421.44</v>
      </c>
      <c r="U1148">
        <v>5</v>
      </c>
      <c r="V1148">
        <v>2107.1999999999998</v>
      </c>
    </row>
    <row r="1149" spans="1:22" x14ac:dyDescent="0.25">
      <c r="A1149" t="s">
        <v>4104</v>
      </c>
      <c r="B1149" s="1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  <c r="O1149" t="str">
        <f>IF(OR($N1149&lt;EDA_Summary!$B$14,$N1149&gt;EDA_Summary!$B$15), "Outlier", "Normal")</f>
        <v>Normal</v>
      </c>
      <c r="S1149">
        <v>2</v>
      </c>
      <c r="T1149">
        <v>588.29999999999995</v>
      </c>
      <c r="U1149">
        <v>2</v>
      </c>
      <c r="V1149">
        <v>1176.5999999999999</v>
      </c>
    </row>
    <row r="1150" spans="1:22" x14ac:dyDescent="0.25">
      <c r="A1150" t="s">
        <v>4108</v>
      </c>
      <c r="B1150" s="1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  <c r="O1150" t="str">
        <f>IF(OR($N1150&lt;EDA_Summary!$B$14,$N1150&gt;EDA_Summary!$B$15), "Outlier", "Normal")</f>
        <v>Normal</v>
      </c>
      <c r="S1150">
        <v>1</v>
      </c>
      <c r="T1150">
        <v>355.15</v>
      </c>
      <c r="U1150">
        <v>2</v>
      </c>
      <c r="V1150">
        <v>355.15</v>
      </c>
    </row>
    <row r="1151" spans="1:22" x14ac:dyDescent="0.25">
      <c r="A1151" t="s">
        <v>4112</v>
      </c>
      <c r="B1151" s="1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  <c r="O1151" t="str">
        <f>IF(OR($N1151&lt;EDA_Summary!$B$14,$N1151&gt;EDA_Summary!$B$15), "Outlier", "Normal")</f>
        <v>Normal</v>
      </c>
      <c r="S1151">
        <v>2</v>
      </c>
      <c r="T1151">
        <v>695.29</v>
      </c>
      <c r="U1151">
        <v>6</v>
      </c>
      <c r="V1151">
        <v>1390.58</v>
      </c>
    </row>
    <row r="1152" spans="1:22" x14ac:dyDescent="0.25">
      <c r="A1152" t="s">
        <v>4116</v>
      </c>
      <c r="B1152" s="1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  <c r="O1152" t="str">
        <f>IF(OR($N1152&lt;EDA_Summary!$B$14,$N1152&gt;EDA_Summary!$B$15), "Outlier", "Normal")</f>
        <v>Normal</v>
      </c>
      <c r="S1152">
        <v>4</v>
      </c>
      <c r="T1152">
        <v>302.64999999999998</v>
      </c>
      <c r="U1152">
        <v>8</v>
      </c>
      <c r="V1152">
        <v>1210.5999999999999</v>
      </c>
    </row>
    <row r="1153" spans="1:22" x14ac:dyDescent="0.25">
      <c r="A1153" t="s">
        <v>4119</v>
      </c>
      <c r="B1153" s="1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  <c r="O1153" t="str">
        <f>IF(OR($N1153&lt;EDA_Summary!$B$14,$N1153&gt;EDA_Summary!$B$15), "Outlier", "Normal")</f>
        <v>Normal</v>
      </c>
      <c r="S1153">
        <v>2</v>
      </c>
      <c r="T1153">
        <v>608.04</v>
      </c>
      <c r="U1153">
        <v>4</v>
      </c>
      <c r="V1153">
        <v>1216.08</v>
      </c>
    </row>
    <row r="1154" spans="1:22" x14ac:dyDescent="0.25">
      <c r="A1154" t="s">
        <v>4123</v>
      </c>
      <c r="B1154" s="1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  <c r="O1154" t="str">
        <f>IF(OR($N1154&lt;EDA_Summary!$B$14,$N1154&gt;EDA_Summary!$B$15), "Outlier", "Normal")</f>
        <v>Normal</v>
      </c>
      <c r="S1154">
        <v>2</v>
      </c>
      <c r="T1154">
        <v>344.18</v>
      </c>
      <c r="U1154">
        <v>7</v>
      </c>
      <c r="V1154">
        <v>688.36</v>
      </c>
    </row>
    <row r="1155" spans="1:22" x14ac:dyDescent="0.25">
      <c r="A1155" t="s">
        <v>4126</v>
      </c>
      <c r="B1155" s="1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  <c r="O1155" t="str">
        <f>IF(OR($N1155&lt;EDA_Summary!$B$14,$N1155&gt;EDA_Summary!$B$15), "Outlier", "Normal")</f>
        <v>Normal</v>
      </c>
      <c r="S1155">
        <v>4</v>
      </c>
      <c r="T1155">
        <v>696.71</v>
      </c>
      <c r="U1155">
        <v>4</v>
      </c>
      <c r="V1155">
        <v>2786.84</v>
      </c>
    </row>
    <row r="1156" spans="1:22" x14ac:dyDescent="0.25">
      <c r="A1156" t="s">
        <v>4130</v>
      </c>
      <c r="B1156" s="1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  <c r="O1156" t="str">
        <f>IF(OR($N1156&lt;EDA_Summary!$B$14,$N1156&gt;EDA_Summary!$B$15), "Outlier", "Normal")</f>
        <v>Normal</v>
      </c>
      <c r="S1156">
        <v>3</v>
      </c>
      <c r="T1156">
        <v>198.63</v>
      </c>
      <c r="U1156">
        <v>8</v>
      </c>
      <c r="V1156">
        <v>595.89</v>
      </c>
    </row>
    <row r="1157" spans="1:22" x14ac:dyDescent="0.25">
      <c r="A1157" t="s">
        <v>4133</v>
      </c>
      <c r="B1157" s="1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  <c r="O1157" t="str">
        <f>IF(OR($N1157&lt;EDA_Summary!$B$14,$N1157&gt;EDA_Summary!$B$15), "Outlier", "Normal")</f>
        <v>Normal</v>
      </c>
      <c r="S1157">
        <v>4</v>
      </c>
      <c r="T1157">
        <v>534.57000000000005</v>
      </c>
      <c r="U1157">
        <v>6</v>
      </c>
      <c r="V1157">
        <v>2138.2800000000002</v>
      </c>
    </row>
    <row r="1158" spans="1:22" x14ac:dyDescent="0.25">
      <c r="A1158" t="s">
        <v>4136</v>
      </c>
      <c r="B1158" s="1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  <c r="O1158" t="str">
        <f>IF(OR($N1158&lt;EDA_Summary!$B$14,$N1158&gt;EDA_Summary!$B$15), "Outlier", "Normal")</f>
        <v>Normal</v>
      </c>
      <c r="S1158">
        <v>4</v>
      </c>
      <c r="T1158">
        <v>690.78</v>
      </c>
      <c r="U1158">
        <v>9</v>
      </c>
      <c r="V1158">
        <v>2763.12</v>
      </c>
    </row>
    <row r="1159" spans="1:22" x14ac:dyDescent="0.25">
      <c r="A1159" t="s">
        <v>4139</v>
      </c>
      <c r="B1159" s="1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  <c r="O1159" t="str">
        <f>IF(OR($N1159&lt;EDA_Summary!$B$14,$N1159&gt;EDA_Summary!$B$15), "Outlier", "Normal")</f>
        <v>Normal</v>
      </c>
      <c r="S1159">
        <v>3</v>
      </c>
      <c r="T1159">
        <v>301.55</v>
      </c>
      <c r="U1159">
        <v>5</v>
      </c>
      <c r="V1159">
        <v>904.65000000000009</v>
      </c>
    </row>
    <row r="1160" spans="1:22" x14ac:dyDescent="0.25">
      <c r="A1160" t="s">
        <v>4142</v>
      </c>
      <c r="B1160" s="1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  <c r="O1160" t="str">
        <f>IF(OR($N1160&lt;EDA_Summary!$B$14,$N1160&gt;EDA_Summary!$B$15), "Outlier", "Normal")</f>
        <v>Normal</v>
      </c>
      <c r="S1160">
        <v>4</v>
      </c>
      <c r="T1160">
        <v>27.42</v>
      </c>
      <c r="U1160">
        <v>4</v>
      </c>
      <c r="V1160">
        <v>109.68</v>
      </c>
    </row>
    <row r="1161" spans="1:22" x14ac:dyDescent="0.25">
      <c r="A1161" t="s">
        <v>4145</v>
      </c>
      <c r="B1161" s="1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  <c r="O1161" t="str">
        <f>IF(OR($N1161&lt;EDA_Summary!$B$14,$N1161&gt;EDA_Summary!$B$15), "Outlier", "Normal")</f>
        <v>Normal</v>
      </c>
      <c r="S1161">
        <v>4</v>
      </c>
      <c r="T1161">
        <v>466.7</v>
      </c>
      <c r="U1161">
        <v>8</v>
      </c>
      <c r="V1161">
        <v>1866.8</v>
      </c>
    </row>
    <row r="1162" spans="1:22" x14ac:dyDescent="0.25">
      <c r="A1162" t="s">
        <v>4148</v>
      </c>
      <c r="B1162" s="1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  <c r="O1162" t="str">
        <f>IF(OR($N1162&lt;EDA_Summary!$B$14,$N1162&gt;EDA_Summary!$B$15), "Outlier", "Normal")</f>
        <v>Normal</v>
      </c>
      <c r="S1162">
        <v>1</v>
      </c>
      <c r="T1162">
        <v>541.64</v>
      </c>
      <c r="U1162">
        <v>5</v>
      </c>
      <c r="V1162">
        <v>541.64</v>
      </c>
    </row>
    <row r="1163" spans="1:22" x14ac:dyDescent="0.25">
      <c r="A1163" t="s">
        <v>4151</v>
      </c>
      <c r="B1163" s="1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  <c r="O1163" t="str">
        <f>IF(OR($N1163&lt;EDA_Summary!$B$14,$N1163&gt;EDA_Summary!$B$15), "Outlier", "Normal")</f>
        <v>Normal</v>
      </c>
      <c r="S1163">
        <v>1</v>
      </c>
      <c r="T1163">
        <v>11.39</v>
      </c>
      <c r="U1163">
        <v>6</v>
      </c>
      <c r="V1163">
        <v>11.39</v>
      </c>
    </row>
    <row r="1164" spans="1:22" x14ac:dyDescent="0.25">
      <c r="A1164" t="s">
        <v>4154</v>
      </c>
      <c r="B1164" s="1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  <c r="O1164" t="str">
        <f>IF(OR($N1164&lt;EDA_Summary!$B$14,$N1164&gt;EDA_Summary!$B$15), "Outlier", "Normal")</f>
        <v>Normal</v>
      </c>
      <c r="S1164">
        <v>2</v>
      </c>
      <c r="T1164">
        <v>224.37</v>
      </c>
      <c r="U1164">
        <v>3</v>
      </c>
      <c r="V1164">
        <v>448.74</v>
      </c>
    </row>
    <row r="1165" spans="1:22" x14ac:dyDescent="0.25">
      <c r="A1165" t="s">
        <v>4158</v>
      </c>
      <c r="B1165" s="1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  <c r="O1165" t="str">
        <f>IF(OR($N1165&lt;EDA_Summary!$B$14,$N1165&gt;EDA_Summary!$B$15), "Outlier", "Normal")</f>
        <v>Normal</v>
      </c>
      <c r="S1165">
        <v>3</v>
      </c>
      <c r="T1165">
        <v>306.29000000000002</v>
      </c>
      <c r="U1165">
        <v>7</v>
      </c>
      <c r="V1165">
        <v>918.87000000000012</v>
      </c>
    </row>
    <row r="1166" spans="1:22" x14ac:dyDescent="0.25">
      <c r="A1166" t="s">
        <v>4162</v>
      </c>
      <c r="B1166" s="1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  <c r="O1166" t="str">
        <f>IF(OR($N1166&lt;EDA_Summary!$B$14,$N1166&gt;EDA_Summary!$B$15), "Outlier", "Normal")</f>
        <v>Normal</v>
      </c>
      <c r="S1166">
        <v>5</v>
      </c>
      <c r="T1166">
        <v>315.57</v>
      </c>
      <c r="U1166">
        <v>6</v>
      </c>
      <c r="V1166">
        <v>1577.85</v>
      </c>
    </row>
    <row r="1167" spans="1:22" x14ac:dyDescent="0.25">
      <c r="A1167" t="s">
        <v>4165</v>
      </c>
      <c r="B1167" s="1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  <c r="O1167" t="str">
        <f>IF(OR($N1167&lt;EDA_Summary!$B$14,$N1167&gt;EDA_Summary!$B$15), "Outlier", "Normal")</f>
        <v>Normal</v>
      </c>
      <c r="S1167">
        <v>3</v>
      </c>
      <c r="T1167">
        <v>223.79</v>
      </c>
      <c r="U1167">
        <v>3</v>
      </c>
      <c r="V1167">
        <v>671.37</v>
      </c>
    </row>
    <row r="1168" spans="1:22" x14ac:dyDescent="0.25">
      <c r="A1168" t="s">
        <v>4169</v>
      </c>
      <c r="B1168" s="1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  <c r="O1168" t="str">
        <f>IF(OR($N1168&lt;EDA_Summary!$B$14,$N1168&gt;EDA_Summary!$B$15), "Outlier", "Normal")</f>
        <v>Normal</v>
      </c>
      <c r="S1168">
        <v>3</v>
      </c>
      <c r="T1168">
        <v>324.47000000000003</v>
      </c>
      <c r="U1168">
        <v>4</v>
      </c>
      <c r="V1168">
        <v>973.41000000000008</v>
      </c>
    </row>
    <row r="1169" spans="1:22" x14ac:dyDescent="0.25">
      <c r="A1169" t="s">
        <v>4172</v>
      </c>
      <c r="B1169" s="1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  <c r="O1169" t="str">
        <f>IF(OR($N1169&lt;EDA_Summary!$B$14,$N1169&gt;EDA_Summary!$B$15), "Outlier", "Normal")</f>
        <v>Normal</v>
      </c>
      <c r="S1169">
        <v>2</v>
      </c>
      <c r="T1169">
        <v>92.87</v>
      </c>
      <c r="U1169">
        <v>5</v>
      </c>
      <c r="V1169">
        <v>185.74</v>
      </c>
    </row>
    <row r="1170" spans="1:22" x14ac:dyDescent="0.25">
      <c r="A1170" t="s">
        <v>4175</v>
      </c>
      <c r="B1170" s="1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  <c r="O1170" t="str">
        <f>IF(OR($N1170&lt;EDA_Summary!$B$14,$N1170&gt;EDA_Summary!$B$15), "Outlier", "Normal")</f>
        <v>Normal</v>
      </c>
      <c r="S1170">
        <v>2</v>
      </c>
      <c r="T1170">
        <v>331.42</v>
      </c>
      <c r="U1170">
        <v>6</v>
      </c>
      <c r="V1170">
        <v>662.84</v>
      </c>
    </row>
    <row r="1171" spans="1:22" x14ac:dyDescent="0.25">
      <c r="A1171" t="s">
        <v>4179</v>
      </c>
      <c r="B1171" s="1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  <c r="O1171" t="str">
        <f>IF(OR($N1171&lt;EDA_Summary!$B$14,$N1171&gt;EDA_Summary!$B$15), "Outlier", "Normal")</f>
        <v>Normal</v>
      </c>
      <c r="S1171">
        <v>1</v>
      </c>
      <c r="T1171">
        <v>525.42999999999995</v>
      </c>
      <c r="U1171">
        <v>2</v>
      </c>
      <c r="V1171">
        <v>525.42999999999995</v>
      </c>
    </row>
    <row r="1172" spans="1:22" x14ac:dyDescent="0.25">
      <c r="A1172" t="s">
        <v>4183</v>
      </c>
      <c r="B1172" s="1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  <c r="O1172" t="str">
        <f>IF(OR($N1172&lt;EDA_Summary!$B$14,$N1172&gt;EDA_Summary!$B$15), "Outlier", "Normal")</f>
        <v>Normal</v>
      </c>
      <c r="S1172">
        <v>2</v>
      </c>
      <c r="T1172">
        <v>697.19</v>
      </c>
      <c r="U1172">
        <v>7</v>
      </c>
      <c r="V1172">
        <v>1394.38</v>
      </c>
    </row>
    <row r="1173" spans="1:22" x14ac:dyDescent="0.25">
      <c r="A1173" t="s">
        <v>4186</v>
      </c>
      <c r="B1173" s="1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  <c r="O1173" t="str">
        <f>IF(OR($N1173&lt;EDA_Summary!$B$14,$N1173&gt;EDA_Summary!$B$15), "Outlier", "Normal")</f>
        <v>Normal</v>
      </c>
      <c r="S1173">
        <v>4</v>
      </c>
      <c r="T1173">
        <v>518.4</v>
      </c>
      <c r="U1173">
        <v>7</v>
      </c>
      <c r="V1173">
        <v>2073.6</v>
      </c>
    </row>
    <row r="1174" spans="1:22" x14ac:dyDescent="0.25">
      <c r="A1174" t="s">
        <v>4190</v>
      </c>
      <c r="B1174" s="1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  <c r="O1174" t="str">
        <f>IF(OR($N1174&lt;EDA_Summary!$B$14,$N1174&gt;EDA_Summary!$B$15), "Outlier", "Normal")</f>
        <v>Normal</v>
      </c>
      <c r="S1174">
        <v>3</v>
      </c>
      <c r="T1174">
        <v>131.96</v>
      </c>
      <c r="U1174">
        <v>8</v>
      </c>
      <c r="V1174">
        <v>395.88</v>
      </c>
    </row>
    <row r="1175" spans="1:22" x14ac:dyDescent="0.25">
      <c r="A1175" t="s">
        <v>4193</v>
      </c>
      <c r="B1175" s="1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  <c r="O1175" t="str">
        <f>IF(OR($N1175&lt;EDA_Summary!$B$14,$N1175&gt;EDA_Summary!$B$15), "Outlier", "Normal")</f>
        <v>Normal</v>
      </c>
      <c r="S1175">
        <v>1</v>
      </c>
      <c r="T1175">
        <v>208.36</v>
      </c>
      <c r="U1175">
        <v>4</v>
      </c>
      <c r="V1175">
        <v>208.36</v>
      </c>
    </row>
    <row r="1176" spans="1:22" x14ac:dyDescent="0.25">
      <c r="A1176" t="s">
        <v>4196</v>
      </c>
      <c r="B1176" s="1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  <c r="O1176" t="str">
        <f>IF(OR($N1176&lt;EDA_Summary!$B$14,$N1176&gt;EDA_Summary!$B$15), "Outlier", "Normal")</f>
        <v>Normal</v>
      </c>
      <c r="S1176">
        <v>3</v>
      </c>
      <c r="T1176">
        <v>222.34</v>
      </c>
      <c r="U1176">
        <v>5</v>
      </c>
      <c r="V1176">
        <v>667.02</v>
      </c>
    </row>
    <row r="1177" spans="1:22" x14ac:dyDescent="0.25">
      <c r="A1177" t="s">
        <v>4200</v>
      </c>
      <c r="B1177" s="1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  <c r="O1177" t="str">
        <f>IF(OR($N1177&lt;EDA_Summary!$B$14,$N1177&gt;EDA_Summary!$B$15), "Outlier", "Normal")</f>
        <v>Normal</v>
      </c>
      <c r="S1177">
        <v>3</v>
      </c>
      <c r="T1177">
        <v>91.74</v>
      </c>
      <c r="U1177">
        <v>8</v>
      </c>
      <c r="V1177">
        <v>275.22000000000003</v>
      </c>
    </row>
    <row r="1178" spans="1:22" x14ac:dyDescent="0.25">
      <c r="A1178" t="s">
        <v>4203</v>
      </c>
      <c r="B1178" s="1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  <c r="O1178" t="str">
        <f>IF(OR($N1178&lt;EDA_Summary!$B$14,$N1178&gt;EDA_Summary!$B$15), "Outlier", "Normal")</f>
        <v>Normal</v>
      </c>
      <c r="S1178">
        <v>2</v>
      </c>
      <c r="T1178">
        <v>213.83</v>
      </c>
      <c r="U1178">
        <v>2</v>
      </c>
      <c r="V1178">
        <v>427.66</v>
      </c>
    </row>
    <row r="1179" spans="1:22" x14ac:dyDescent="0.25">
      <c r="A1179" t="s">
        <v>4207</v>
      </c>
      <c r="B1179" s="1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  <c r="O1179" t="str">
        <f>IF(OR($N1179&lt;EDA_Summary!$B$14,$N1179&gt;EDA_Summary!$B$15), "Outlier", "Normal")</f>
        <v>Normal</v>
      </c>
      <c r="S1179">
        <v>1</v>
      </c>
      <c r="T1179">
        <v>127.55</v>
      </c>
      <c r="U1179">
        <v>3</v>
      </c>
      <c r="V1179">
        <v>127.55</v>
      </c>
    </row>
    <row r="1180" spans="1:22" x14ac:dyDescent="0.25">
      <c r="A1180" t="s">
        <v>4210</v>
      </c>
      <c r="B1180" s="1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  <c r="O1180" t="str">
        <f>IF(OR($N1180&lt;EDA_Summary!$B$14,$N1180&gt;EDA_Summary!$B$15), "Outlier", "Normal")</f>
        <v>Normal</v>
      </c>
      <c r="S1180">
        <v>1</v>
      </c>
      <c r="T1180">
        <v>70.239999999999995</v>
      </c>
      <c r="U1180">
        <v>4</v>
      </c>
      <c r="V1180">
        <v>70.239999999999995</v>
      </c>
    </row>
    <row r="1181" spans="1:22" x14ac:dyDescent="0.25">
      <c r="A1181" t="s">
        <v>4213</v>
      </c>
      <c r="B1181" s="1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  <c r="O1181" t="str">
        <f>IF(OR($N1181&lt;EDA_Summary!$B$14,$N1181&gt;EDA_Summary!$B$15), "Outlier", "Normal")</f>
        <v>Normal</v>
      </c>
      <c r="S1181">
        <v>5</v>
      </c>
      <c r="T1181">
        <v>518.54999999999995</v>
      </c>
      <c r="U1181">
        <v>6</v>
      </c>
      <c r="V1181">
        <v>2592.75</v>
      </c>
    </row>
    <row r="1182" spans="1:22" x14ac:dyDescent="0.25">
      <c r="A1182" t="s">
        <v>4216</v>
      </c>
      <c r="B1182" s="1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  <c r="O1182" t="str">
        <f>IF(OR($N1182&lt;EDA_Summary!$B$14,$N1182&gt;EDA_Summary!$B$15), "Outlier", "Normal")</f>
        <v>Normal</v>
      </c>
      <c r="S1182">
        <v>4</v>
      </c>
      <c r="T1182">
        <v>298.36</v>
      </c>
      <c r="U1182">
        <v>8</v>
      </c>
      <c r="V1182">
        <v>1193.44</v>
      </c>
    </row>
    <row r="1183" spans="1:22" x14ac:dyDescent="0.25">
      <c r="A1183" t="s">
        <v>4219</v>
      </c>
      <c r="B1183" s="1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  <c r="O1183" t="str">
        <f>IF(OR($N1183&lt;EDA_Summary!$B$14,$N1183&gt;EDA_Summary!$B$15), "Outlier", "Normal")</f>
        <v>Normal</v>
      </c>
      <c r="S1183">
        <v>3</v>
      </c>
      <c r="T1183">
        <v>158.74</v>
      </c>
      <c r="U1183">
        <v>7</v>
      </c>
      <c r="V1183">
        <v>476.22</v>
      </c>
    </row>
    <row r="1184" spans="1:22" x14ac:dyDescent="0.25">
      <c r="A1184" t="s">
        <v>4222</v>
      </c>
      <c r="B1184" s="1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  <c r="O1184" t="str">
        <f>IF(OR($N1184&lt;EDA_Summary!$B$14,$N1184&gt;EDA_Summary!$B$15), "Outlier", "Normal")</f>
        <v>Normal</v>
      </c>
      <c r="S1184">
        <v>2</v>
      </c>
      <c r="T1184">
        <v>420.29</v>
      </c>
      <c r="U1184">
        <v>3</v>
      </c>
      <c r="V1184">
        <v>840.58</v>
      </c>
    </row>
    <row r="1185" spans="1:22" x14ac:dyDescent="0.25">
      <c r="A1185" t="s">
        <v>4225</v>
      </c>
      <c r="B1185" s="1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  <c r="O1185" t="str">
        <f>IF(OR($N1185&lt;EDA_Summary!$B$14,$N1185&gt;EDA_Summary!$B$15), "Outlier", "Normal")</f>
        <v>Normal</v>
      </c>
      <c r="S1185">
        <v>1</v>
      </c>
      <c r="T1185">
        <v>281.52</v>
      </c>
      <c r="U1185">
        <v>6</v>
      </c>
      <c r="V1185">
        <v>281.52</v>
      </c>
    </row>
    <row r="1186" spans="1:22" x14ac:dyDescent="0.25">
      <c r="A1186" t="s">
        <v>4228</v>
      </c>
      <c r="B1186" s="1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  <c r="O1186" t="str">
        <f>IF(OR($N1186&lt;EDA_Summary!$B$14,$N1186&gt;EDA_Summary!$B$15), "Outlier", "Normal")</f>
        <v>Normal</v>
      </c>
      <c r="S1186">
        <v>1</v>
      </c>
      <c r="T1186">
        <v>204.08</v>
      </c>
      <c r="U1186">
        <v>4</v>
      </c>
      <c r="V1186">
        <v>204.08</v>
      </c>
    </row>
    <row r="1187" spans="1:22" x14ac:dyDescent="0.25">
      <c r="A1187" t="s">
        <v>4231</v>
      </c>
      <c r="B1187" s="1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  <c r="O1187" t="str">
        <f>IF(OR($N1187&lt;EDA_Summary!$B$14,$N1187&gt;EDA_Summary!$B$15), "Outlier", "Normal")</f>
        <v>Normal</v>
      </c>
      <c r="S1187">
        <v>1</v>
      </c>
      <c r="T1187">
        <v>343.31</v>
      </c>
      <c r="U1187">
        <v>6</v>
      </c>
      <c r="V1187">
        <v>343.31</v>
      </c>
    </row>
    <row r="1188" spans="1:22" x14ac:dyDescent="0.25">
      <c r="A1188" t="s">
        <v>4235</v>
      </c>
      <c r="B1188" s="1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  <c r="O1188" t="str">
        <f>IF(OR($N1188&lt;EDA_Summary!$B$14,$N1188&gt;EDA_Summary!$B$15), "Outlier", "Normal")</f>
        <v>Normal</v>
      </c>
      <c r="S1188">
        <v>1</v>
      </c>
      <c r="T1188">
        <v>163.32</v>
      </c>
      <c r="U1188">
        <v>6</v>
      </c>
      <c r="V1188">
        <v>163.32</v>
      </c>
    </row>
    <row r="1189" spans="1:22" x14ac:dyDescent="0.25">
      <c r="A1189" t="s">
        <v>4239</v>
      </c>
      <c r="B1189" s="1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  <c r="O1189" t="str">
        <f>IF(OR($N1189&lt;EDA_Summary!$B$14,$N1189&gt;EDA_Summary!$B$15), "Outlier", "Normal")</f>
        <v>Normal</v>
      </c>
      <c r="S1189">
        <v>2</v>
      </c>
      <c r="T1189">
        <v>184.6</v>
      </c>
      <c r="U1189">
        <v>7</v>
      </c>
      <c r="V1189">
        <v>369.2</v>
      </c>
    </row>
    <row r="1190" spans="1:22" x14ac:dyDescent="0.25">
      <c r="A1190" t="s">
        <v>4242</v>
      </c>
      <c r="B1190" s="1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  <c r="O1190" t="str">
        <f>IF(OR($N1190&lt;EDA_Summary!$B$14,$N1190&gt;EDA_Summary!$B$15), "Outlier", "Normal")</f>
        <v>Normal</v>
      </c>
      <c r="S1190">
        <v>2</v>
      </c>
      <c r="T1190">
        <v>371.29</v>
      </c>
      <c r="U1190">
        <v>5</v>
      </c>
      <c r="V1190">
        <v>742.58</v>
      </c>
    </row>
    <row r="1191" spans="1:22" x14ac:dyDescent="0.25">
      <c r="A1191" t="s">
        <v>4246</v>
      </c>
      <c r="B1191" s="1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  <c r="O1191" t="str">
        <f>IF(OR($N1191&lt;EDA_Summary!$B$14,$N1191&gt;EDA_Summary!$B$15), "Outlier", "Normal")</f>
        <v>Normal</v>
      </c>
      <c r="S1191">
        <v>5</v>
      </c>
      <c r="T1191">
        <v>389.22</v>
      </c>
      <c r="U1191">
        <v>7</v>
      </c>
      <c r="V1191">
        <v>1946.1</v>
      </c>
    </row>
    <row r="1192" spans="1:22" x14ac:dyDescent="0.25">
      <c r="A1192" t="s">
        <v>4250</v>
      </c>
      <c r="B1192" s="1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  <c r="O1192" t="str">
        <f>IF(OR($N1192&lt;EDA_Summary!$B$14,$N1192&gt;EDA_Summary!$B$15), "Outlier", "Normal")</f>
        <v>Normal</v>
      </c>
      <c r="S1192">
        <v>3</v>
      </c>
      <c r="T1192">
        <v>616.39</v>
      </c>
      <c r="U1192">
        <v>6</v>
      </c>
      <c r="V1192">
        <v>1849.17</v>
      </c>
    </row>
    <row r="1193" spans="1:22" x14ac:dyDescent="0.25">
      <c r="A1193" t="s">
        <v>4254</v>
      </c>
      <c r="B1193" s="1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  <c r="O1193" t="str">
        <f>IF(OR($N1193&lt;EDA_Summary!$B$14,$N1193&gt;EDA_Summary!$B$15), "Outlier", "Normal")</f>
        <v>Normal</v>
      </c>
      <c r="S1193">
        <v>4</v>
      </c>
      <c r="T1193">
        <v>376.43</v>
      </c>
      <c r="U1193">
        <v>5</v>
      </c>
      <c r="V1193">
        <v>1505.72</v>
      </c>
    </row>
    <row r="1194" spans="1:22" x14ac:dyDescent="0.25">
      <c r="A1194" t="s">
        <v>4257</v>
      </c>
      <c r="B1194" s="1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  <c r="O1194" t="str">
        <f>IF(OR($N1194&lt;EDA_Summary!$B$14,$N1194&gt;EDA_Summary!$B$15), "Outlier", "Normal")</f>
        <v>Normal</v>
      </c>
      <c r="S1194">
        <v>3</v>
      </c>
      <c r="T1194">
        <v>432.85</v>
      </c>
      <c r="U1194">
        <v>4</v>
      </c>
      <c r="V1194">
        <v>1298.55</v>
      </c>
    </row>
    <row r="1195" spans="1:22" x14ac:dyDescent="0.25">
      <c r="A1195" t="s">
        <v>4260</v>
      </c>
      <c r="B1195" s="1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  <c r="O1195" t="str">
        <f>IF(OR($N1195&lt;EDA_Summary!$B$14,$N1195&gt;EDA_Summary!$B$15), "Outlier", "Normal")</f>
        <v>Normal</v>
      </c>
      <c r="S1195">
        <v>1</v>
      </c>
      <c r="T1195">
        <v>687.89</v>
      </c>
      <c r="U1195">
        <v>1</v>
      </c>
      <c r="V1195">
        <v>687.89</v>
      </c>
    </row>
    <row r="1196" spans="1:22" x14ac:dyDescent="0.25">
      <c r="A1196" t="s">
        <v>4263</v>
      </c>
      <c r="B1196" s="1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  <c r="O1196" t="str">
        <f>IF(OR($N1196&lt;EDA_Summary!$B$14,$N1196&gt;EDA_Summary!$B$15), "Outlier", "Normal")</f>
        <v>Normal</v>
      </c>
      <c r="S1196">
        <v>3</v>
      </c>
      <c r="T1196">
        <v>189.44</v>
      </c>
      <c r="U1196">
        <v>4</v>
      </c>
      <c r="V1196">
        <v>568.31999999999994</v>
      </c>
    </row>
    <row r="1197" spans="1:22" x14ac:dyDescent="0.25">
      <c r="A1197" t="s">
        <v>4266</v>
      </c>
      <c r="B1197" s="1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  <c r="O1197" t="str">
        <f>IF(OR($N1197&lt;EDA_Summary!$B$14,$N1197&gt;EDA_Summary!$B$15), "Outlier", "Normal")</f>
        <v>Normal</v>
      </c>
      <c r="S1197">
        <v>1</v>
      </c>
      <c r="T1197">
        <v>107.04</v>
      </c>
      <c r="U1197">
        <v>6</v>
      </c>
      <c r="V1197">
        <v>107.04</v>
      </c>
    </row>
    <row r="1198" spans="1:22" x14ac:dyDescent="0.25">
      <c r="A1198" t="s">
        <v>4270</v>
      </c>
      <c r="B1198" s="1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  <c r="O1198" t="str">
        <f>IF(OR($N1198&lt;EDA_Summary!$B$14,$N1198&gt;EDA_Summary!$B$15), "Outlier", "Normal")</f>
        <v>Normal</v>
      </c>
      <c r="S1198">
        <v>2</v>
      </c>
      <c r="T1198">
        <v>662.53</v>
      </c>
      <c r="U1198">
        <v>5</v>
      </c>
      <c r="V1198">
        <v>1325.06</v>
      </c>
    </row>
    <row r="1199" spans="1:22" x14ac:dyDescent="0.25">
      <c r="A1199" t="s">
        <v>4273</v>
      </c>
      <c r="B1199" s="1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  <c r="O1199" t="str">
        <f>IF(OR($N1199&lt;EDA_Summary!$B$14,$N1199&gt;EDA_Summary!$B$15), "Outlier", "Normal")</f>
        <v>Normal</v>
      </c>
      <c r="S1199">
        <v>2</v>
      </c>
      <c r="T1199">
        <v>436.84</v>
      </c>
      <c r="U1199">
        <v>2</v>
      </c>
      <c r="V1199">
        <v>873.68</v>
      </c>
    </row>
    <row r="1200" spans="1:22" x14ac:dyDescent="0.25">
      <c r="A1200" t="s">
        <v>4276</v>
      </c>
      <c r="B1200" s="1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  <c r="O1200" t="str">
        <f>IF(OR($N1200&lt;EDA_Summary!$B$14,$N1200&gt;EDA_Summary!$B$15), "Outlier", "Normal")</f>
        <v>Normal</v>
      </c>
      <c r="S1200">
        <v>4</v>
      </c>
      <c r="T1200">
        <v>262.52</v>
      </c>
      <c r="U1200">
        <v>4</v>
      </c>
      <c r="V1200">
        <v>1050.08</v>
      </c>
    </row>
    <row r="1201" spans="1:22" x14ac:dyDescent="0.25">
      <c r="A1201" t="s">
        <v>4280</v>
      </c>
      <c r="B1201" s="1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  <c r="O1201" t="str">
        <f>IF(OR($N1201&lt;EDA_Summary!$B$14,$N1201&gt;EDA_Summary!$B$15), "Outlier", "Normal")</f>
        <v>Normal</v>
      </c>
      <c r="S1201">
        <v>4</v>
      </c>
      <c r="T1201">
        <v>560.58000000000004</v>
      </c>
      <c r="U1201">
        <v>6</v>
      </c>
      <c r="V1201">
        <v>2242.3200000000002</v>
      </c>
    </row>
    <row r="1202" spans="1:22" x14ac:dyDescent="0.25">
      <c r="B1202" s="1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C84D5-2F6B-4A4E-A7C9-F125829C1AE6}">
  <dimension ref="A1:G25"/>
  <sheetViews>
    <sheetView zoomScale="90" zoomScaleNormal="90" workbookViewId="0">
      <selection activeCell="Q22" sqref="Q22"/>
    </sheetView>
  </sheetViews>
  <sheetFormatPr defaultRowHeight="15" x14ac:dyDescent="0.25"/>
  <cols>
    <col min="1" max="1" width="15.140625" bestFit="1" customWidth="1"/>
    <col min="2" max="4" width="14.28515625" bestFit="1" customWidth="1"/>
    <col min="5" max="5" width="10.85546875" bestFit="1" customWidth="1"/>
  </cols>
  <sheetData>
    <row r="1" spans="1:7" ht="18.75" x14ac:dyDescent="0.3">
      <c r="A1" s="17" t="s">
        <v>4331</v>
      </c>
      <c r="B1" s="17"/>
      <c r="C1" s="17"/>
      <c r="D1" s="17"/>
      <c r="E1" s="17"/>
      <c r="F1" s="17"/>
      <c r="G1" s="17"/>
    </row>
    <row r="2" spans="1:7" ht="15" customHeight="1" thickBot="1" x14ac:dyDescent="0.3">
      <c r="A2" s="19" t="s">
        <v>4333</v>
      </c>
      <c r="B2" s="19"/>
      <c r="C2" s="19"/>
      <c r="D2" s="19"/>
      <c r="E2" s="19"/>
      <c r="F2" s="19"/>
      <c r="G2" s="19"/>
    </row>
    <row r="3" spans="1:7" x14ac:dyDescent="0.25">
      <c r="A3" s="9" t="s">
        <v>4319</v>
      </c>
      <c r="B3" s="20">
        <f>MIN(Sheet1[TotalPrice])</f>
        <v>11.39</v>
      </c>
    </row>
    <row r="4" spans="1:7" x14ac:dyDescent="0.25">
      <c r="A4" s="10" t="s">
        <v>4320</v>
      </c>
      <c r="B4" s="21">
        <f>_xlfn.QUARTILE.INC(Sheet1[TotalPrice],1)</f>
        <v>410.52</v>
      </c>
    </row>
    <row r="5" spans="1:7" x14ac:dyDescent="0.25">
      <c r="A5" s="10" t="s">
        <v>4321</v>
      </c>
      <c r="B5" s="21">
        <f>MEDIAN(Sheet1[TotalPrice])</f>
        <v>823.61500000000001</v>
      </c>
    </row>
    <row r="6" spans="1:7" x14ac:dyDescent="0.25">
      <c r="A6" s="10" t="s">
        <v>4322</v>
      </c>
      <c r="B6" s="21">
        <f>_xlfn.QUARTILE.INC(Sheet1[TotalPrice],3)</f>
        <v>1578.4749999999999</v>
      </c>
    </row>
    <row r="7" spans="1:7" ht="15.75" thickBot="1" x14ac:dyDescent="0.3">
      <c r="A7" s="10" t="s">
        <v>4323</v>
      </c>
      <c r="B7" s="21">
        <f>MAX(Sheet1[TotalPrice])</f>
        <v>3456.4</v>
      </c>
    </row>
    <row r="8" spans="1:7" ht="15.75" thickBot="1" x14ac:dyDescent="0.3">
      <c r="A8" s="11" t="s">
        <v>4324</v>
      </c>
      <c r="B8" s="22">
        <f>AVERAGE(Sheet1[TotalPrice])</f>
        <v>1053.9683000000005</v>
      </c>
    </row>
    <row r="11" spans="1:7" ht="18.75" x14ac:dyDescent="0.3">
      <c r="A11" s="17" t="s">
        <v>4325</v>
      </c>
      <c r="B11" s="17"/>
      <c r="C11" s="17"/>
      <c r="D11" s="17"/>
      <c r="E11" s="17"/>
      <c r="F11" s="17"/>
      <c r="G11" s="17"/>
    </row>
    <row r="12" spans="1:7" ht="15.75" thickBot="1" x14ac:dyDescent="0.3">
      <c r="A12" t="s">
        <v>4334</v>
      </c>
    </row>
    <row r="13" spans="1:7" x14ac:dyDescent="0.25">
      <c r="A13" s="9" t="s">
        <v>4326</v>
      </c>
      <c r="B13" s="12">
        <f>B6-B4</f>
        <v>1167.9549999999999</v>
      </c>
    </row>
    <row r="14" spans="1:7" x14ac:dyDescent="0.25">
      <c r="A14" s="10" t="s">
        <v>4327</v>
      </c>
      <c r="B14" s="13">
        <f>B4-1.5*B13</f>
        <v>-1341.4124999999999</v>
      </c>
    </row>
    <row r="15" spans="1:7" x14ac:dyDescent="0.25">
      <c r="A15" s="10" t="s">
        <v>4328</v>
      </c>
      <c r="B15" s="15">
        <f>B6+1.5*B13</f>
        <v>3330.4074999999998</v>
      </c>
    </row>
    <row r="16" spans="1:7" ht="15.75" thickBot="1" x14ac:dyDescent="0.3">
      <c r="A16" s="14" t="s">
        <v>4332</v>
      </c>
      <c r="B16" s="16">
        <v>8</v>
      </c>
    </row>
    <row r="19" spans="1:7" ht="18.75" x14ac:dyDescent="0.3">
      <c r="A19" s="17" t="s">
        <v>4330</v>
      </c>
      <c r="B19" s="17"/>
      <c r="C19" s="17"/>
      <c r="D19" s="17"/>
      <c r="E19" s="17"/>
      <c r="F19" s="17"/>
      <c r="G19" s="17"/>
    </row>
    <row r="20" spans="1:7" ht="15.75" thickBot="1" x14ac:dyDescent="0.3">
      <c r="A20" t="s">
        <v>4335</v>
      </c>
    </row>
    <row r="21" spans="1:7" x14ac:dyDescent="0.25">
      <c r="A21" s="7"/>
      <c r="B21" s="18" t="s">
        <v>4</v>
      </c>
      <c r="C21" s="18" t="s">
        <v>5</v>
      </c>
      <c r="D21" s="18" t="s">
        <v>10</v>
      </c>
      <c r="E21" s="18" t="s">
        <v>13</v>
      </c>
    </row>
    <row r="22" spans="1:7" x14ac:dyDescent="0.25">
      <c r="A22" s="8" t="s">
        <v>4</v>
      </c>
      <c r="B22" s="8">
        <v>1</v>
      </c>
      <c r="C22" s="8"/>
      <c r="D22" s="8"/>
      <c r="E22" s="8"/>
    </row>
    <row r="23" spans="1:7" x14ac:dyDescent="0.25">
      <c r="A23" s="8" t="s">
        <v>5</v>
      </c>
      <c r="B23" s="8">
        <v>1.4553341185454998E-2</v>
      </c>
      <c r="C23" s="8">
        <v>1</v>
      </c>
      <c r="D23" s="8"/>
      <c r="E23" s="8"/>
    </row>
    <row r="24" spans="1:7" x14ac:dyDescent="0.25">
      <c r="A24" s="8" t="s">
        <v>10</v>
      </c>
      <c r="B24" s="8">
        <v>0.65006122572385383</v>
      </c>
      <c r="C24" s="8">
        <v>6.0215368110683881E-4</v>
      </c>
      <c r="D24" s="8">
        <v>1</v>
      </c>
      <c r="E24" s="8"/>
    </row>
    <row r="25" spans="1:7" ht="15.75" thickBot="1" x14ac:dyDescent="0.3">
      <c r="A25" s="6" t="s">
        <v>13</v>
      </c>
      <c r="B25" s="6">
        <v>0.61525136334670683</v>
      </c>
      <c r="C25" s="6">
        <v>0.717081089263781</v>
      </c>
      <c r="D25" s="6">
        <v>0.39254026040686657</v>
      </c>
      <c r="E25" s="6">
        <v>1</v>
      </c>
    </row>
  </sheetData>
  <mergeCells count="3">
    <mergeCell ref="A1:G1"/>
    <mergeCell ref="A11:G11"/>
    <mergeCell ref="A19:G19"/>
  </mergeCells>
  <conditionalFormatting sqref="A21:E2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8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E099F-4961-4609-BF9B-EFCC6240E5EA}">
  <dimension ref="A1:K32"/>
  <sheetViews>
    <sheetView zoomScale="77" zoomScaleNormal="77" workbookViewId="0">
      <selection activeCell="G22" sqref="G22"/>
    </sheetView>
  </sheetViews>
  <sheetFormatPr defaultRowHeight="15" x14ac:dyDescent="0.25"/>
  <cols>
    <col min="1" max="1" width="38.140625" bestFit="1" customWidth="1"/>
    <col min="2" max="2" width="16.85546875" bestFit="1" customWidth="1"/>
    <col min="3" max="3" width="18.42578125" customWidth="1"/>
    <col min="4" max="4" width="24.42578125" bestFit="1" customWidth="1"/>
    <col min="5" max="5" width="15.140625" bestFit="1" customWidth="1"/>
    <col min="6" max="6" width="16.85546875" bestFit="1" customWidth="1"/>
    <col min="7" max="7" width="20.85546875" bestFit="1" customWidth="1"/>
    <col min="8" max="8" width="15.5703125" bestFit="1" customWidth="1"/>
    <col min="9" max="9" width="16.85546875" bestFit="1" customWidth="1"/>
    <col min="10" max="10" width="8.85546875" customWidth="1"/>
    <col min="11" max="11" width="10.28515625" hidden="1" customWidth="1"/>
    <col min="12" max="12" width="7.7109375" bestFit="1" customWidth="1"/>
    <col min="13" max="15" width="6" bestFit="1" customWidth="1"/>
    <col min="16" max="16" width="7" bestFit="1" customWidth="1"/>
    <col min="17" max="21" width="6" bestFit="1" customWidth="1"/>
    <col min="22" max="24" width="7" bestFit="1" customWidth="1"/>
    <col min="25" max="25" width="5" bestFit="1" customWidth="1"/>
    <col min="26" max="26" width="6" bestFit="1" customWidth="1"/>
    <col min="27" max="27" width="7" bestFit="1" customWidth="1"/>
    <col min="28" max="29" width="6" bestFit="1" customWidth="1"/>
    <col min="30" max="30" width="7" bestFit="1" customWidth="1"/>
    <col min="31" max="34" width="6" bestFit="1" customWidth="1"/>
    <col min="35" max="35" width="7" bestFit="1" customWidth="1"/>
    <col min="36" max="36" width="6" bestFit="1" customWidth="1"/>
    <col min="37" max="39" width="7" bestFit="1" customWidth="1"/>
    <col min="40" max="44" width="6" bestFit="1" customWidth="1"/>
    <col min="45" max="45" width="3" bestFit="1" customWidth="1"/>
    <col min="46" max="47" width="6" bestFit="1" customWidth="1"/>
    <col min="48" max="48" width="7" bestFit="1" customWidth="1"/>
    <col min="49" max="50" width="6" bestFit="1" customWidth="1"/>
    <col min="51" max="51" width="7" bestFit="1" customWidth="1"/>
    <col min="52" max="52" width="6" bestFit="1" customWidth="1"/>
    <col min="53" max="53" width="7" bestFit="1" customWidth="1"/>
    <col min="54" max="54" width="6" bestFit="1" customWidth="1"/>
    <col min="55" max="55" width="7" bestFit="1" customWidth="1"/>
    <col min="56" max="56" width="6" bestFit="1" customWidth="1"/>
    <col min="57" max="57" width="5" bestFit="1" customWidth="1"/>
    <col min="58" max="59" width="6" bestFit="1" customWidth="1"/>
    <col min="60" max="60" width="7" bestFit="1" customWidth="1"/>
    <col min="61" max="61" width="6" bestFit="1" customWidth="1"/>
    <col min="62" max="62" width="7" bestFit="1" customWidth="1"/>
    <col min="63" max="63" width="6" bestFit="1" customWidth="1"/>
    <col min="64" max="64" width="7" bestFit="1" customWidth="1"/>
    <col min="65" max="68" width="6" bestFit="1" customWidth="1"/>
    <col min="69" max="73" width="7" bestFit="1" customWidth="1"/>
    <col min="74" max="74" width="5" bestFit="1" customWidth="1"/>
    <col min="75" max="80" width="7" bestFit="1" customWidth="1"/>
    <col min="81" max="81" width="6" bestFit="1" customWidth="1"/>
    <col min="82" max="87" width="7" bestFit="1" customWidth="1"/>
    <col min="88" max="89" width="6" bestFit="1" customWidth="1"/>
    <col min="90" max="92" width="7" bestFit="1" customWidth="1"/>
    <col min="93" max="93" width="6" bestFit="1" customWidth="1"/>
    <col min="94" max="94" width="7" bestFit="1" customWidth="1"/>
    <col min="95" max="96" width="6" bestFit="1" customWidth="1"/>
    <col min="97" max="99" width="7" bestFit="1" customWidth="1"/>
    <col min="100" max="102" width="6" bestFit="1" customWidth="1"/>
    <col min="103" max="105" width="7" bestFit="1" customWidth="1"/>
    <col min="106" max="108" width="6" bestFit="1" customWidth="1"/>
    <col min="109" max="110" width="7" bestFit="1" customWidth="1"/>
    <col min="111" max="111" width="6" bestFit="1" customWidth="1"/>
    <col min="112" max="112" width="7" bestFit="1" customWidth="1"/>
    <col min="113" max="113" width="6" bestFit="1" customWidth="1"/>
    <col min="114" max="114" width="7" bestFit="1" customWidth="1"/>
    <col min="115" max="115" width="5" bestFit="1" customWidth="1"/>
    <col min="116" max="116" width="6" bestFit="1" customWidth="1"/>
    <col min="117" max="118" width="7" bestFit="1" customWidth="1"/>
    <col min="119" max="119" width="6" bestFit="1" customWidth="1"/>
    <col min="120" max="120" width="7" bestFit="1" customWidth="1"/>
    <col min="121" max="122" width="6" bestFit="1" customWidth="1"/>
    <col min="123" max="124" width="7" bestFit="1" customWidth="1"/>
    <col min="125" max="125" width="6" bestFit="1" customWidth="1"/>
    <col min="126" max="127" width="7" bestFit="1" customWidth="1"/>
    <col min="128" max="128" width="6" bestFit="1" customWidth="1"/>
    <col min="129" max="129" width="7" bestFit="1" customWidth="1"/>
    <col min="130" max="130" width="6" bestFit="1" customWidth="1"/>
    <col min="131" max="131" width="7" bestFit="1" customWidth="1"/>
    <col min="132" max="133" width="6" bestFit="1" customWidth="1"/>
    <col min="134" max="135" width="7" bestFit="1" customWidth="1"/>
    <col min="136" max="136" width="5" bestFit="1" customWidth="1"/>
    <col min="137" max="138" width="6" bestFit="1" customWidth="1"/>
    <col min="139" max="139" width="7" bestFit="1" customWidth="1"/>
    <col min="140" max="140" width="6" bestFit="1" customWidth="1"/>
    <col min="141" max="143" width="7" bestFit="1" customWidth="1"/>
    <col min="144" max="144" width="6" bestFit="1" customWidth="1"/>
    <col min="145" max="145" width="7" bestFit="1" customWidth="1"/>
    <col min="146" max="146" width="6" bestFit="1" customWidth="1"/>
    <col min="147" max="149" width="7" bestFit="1" customWidth="1"/>
    <col min="150" max="150" width="6" bestFit="1" customWidth="1"/>
    <col min="151" max="151" width="7" bestFit="1" customWidth="1"/>
    <col min="152" max="152" width="6" bestFit="1" customWidth="1"/>
    <col min="153" max="154" width="7" bestFit="1" customWidth="1"/>
    <col min="155" max="155" width="6" bestFit="1" customWidth="1"/>
    <col min="156" max="158" width="7" bestFit="1" customWidth="1"/>
    <col min="159" max="159" width="5" bestFit="1" customWidth="1"/>
    <col min="160" max="160" width="7" bestFit="1" customWidth="1"/>
    <col min="161" max="161" width="6" bestFit="1" customWidth="1"/>
    <col min="162" max="162" width="7" bestFit="1" customWidth="1"/>
    <col min="163" max="165" width="6" bestFit="1" customWidth="1"/>
    <col min="166" max="175" width="7" bestFit="1" customWidth="1"/>
    <col min="176" max="177" width="6" bestFit="1" customWidth="1"/>
    <col min="178" max="185" width="7" bestFit="1" customWidth="1"/>
    <col min="186" max="186" width="6" bestFit="1" customWidth="1"/>
    <col min="187" max="191" width="7" bestFit="1" customWidth="1"/>
    <col min="192" max="192" width="6" bestFit="1" customWidth="1"/>
    <col min="193" max="202" width="7" bestFit="1" customWidth="1"/>
    <col min="203" max="203" width="6" bestFit="1" customWidth="1"/>
    <col min="204" max="207" width="7" bestFit="1" customWidth="1"/>
    <col min="208" max="208" width="6" bestFit="1" customWidth="1"/>
    <col min="209" max="242" width="7" bestFit="1" customWidth="1"/>
    <col min="243" max="243" width="6" bestFit="1" customWidth="1"/>
    <col min="244" max="246" width="7" bestFit="1" customWidth="1"/>
    <col min="247" max="247" width="4" bestFit="1" customWidth="1"/>
    <col min="248" max="251" width="7" bestFit="1" customWidth="1"/>
    <col min="252" max="252" width="6" bestFit="1" customWidth="1"/>
    <col min="253" max="257" width="7" bestFit="1" customWidth="1"/>
    <col min="258" max="258" width="4" bestFit="1" customWidth="1"/>
    <col min="259" max="278" width="7" bestFit="1" customWidth="1"/>
    <col min="279" max="279" width="6" bestFit="1" customWidth="1"/>
    <col min="280" max="285" width="7" bestFit="1" customWidth="1"/>
    <col min="286" max="286" width="6" bestFit="1" customWidth="1"/>
    <col min="287" max="287" width="7" bestFit="1" customWidth="1"/>
    <col min="288" max="288" width="6" bestFit="1" customWidth="1"/>
    <col min="289" max="294" width="7" bestFit="1" customWidth="1"/>
    <col min="295" max="296" width="6" bestFit="1" customWidth="1"/>
    <col min="297" max="321" width="7" bestFit="1" customWidth="1"/>
    <col min="322" max="322" width="6" bestFit="1" customWidth="1"/>
    <col min="323" max="330" width="7" bestFit="1" customWidth="1"/>
    <col min="331" max="331" width="6" bestFit="1" customWidth="1"/>
    <col min="332" max="332" width="7" bestFit="1" customWidth="1"/>
    <col min="333" max="333" width="8" bestFit="1" customWidth="1"/>
    <col min="334" max="334" width="7" bestFit="1" customWidth="1"/>
    <col min="335" max="335" width="6" bestFit="1" customWidth="1"/>
    <col min="336" max="338" width="7" bestFit="1" customWidth="1"/>
    <col min="339" max="339" width="6" bestFit="1" customWidth="1"/>
    <col min="340" max="347" width="7" bestFit="1" customWidth="1"/>
    <col min="348" max="348" width="8" bestFit="1" customWidth="1"/>
    <col min="349" max="350" width="7" bestFit="1" customWidth="1"/>
    <col min="351" max="351" width="6" bestFit="1" customWidth="1"/>
    <col min="352" max="353" width="7" bestFit="1" customWidth="1"/>
    <col min="354" max="354" width="6" bestFit="1" customWidth="1"/>
    <col min="355" max="355" width="7" bestFit="1" customWidth="1"/>
    <col min="356" max="356" width="8" bestFit="1" customWidth="1"/>
    <col min="357" max="359" width="7" bestFit="1" customWidth="1"/>
    <col min="360" max="361" width="6" bestFit="1" customWidth="1"/>
    <col min="362" max="362" width="7" bestFit="1" customWidth="1"/>
    <col min="363" max="363" width="5" bestFit="1" customWidth="1"/>
    <col min="364" max="367" width="7" bestFit="1" customWidth="1"/>
    <col min="368" max="369" width="8" bestFit="1" customWidth="1"/>
    <col min="370" max="370" width="7" bestFit="1" customWidth="1"/>
    <col min="371" max="371" width="8" bestFit="1" customWidth="1"/>
    <col min="372" max="372" width="6" bestFit="1" customWidth="1"/>
    <col min="373" max="374" width="7" bestFit="1" customWidth="1"/>
    <col min="375" max="375" width="8" bestFit="1" customWidth="1"/>
    <col min="376" max="379" width="7" bestFit="1" customWidth="1"/>
    <col min="380" max="380" width="8" bestFit="1" customWidth="1"/>
    <col min="381" max="381" width="6" bestFit="1" customWidth="1"/>
    <col min="382" max="386" width="7" bestFit="1" customWidth="1"/>
    <col min="387" max="387" width="6" bestFit="1" customWidth="1"/>
    <col min="388" max="390" width="7" bestFit="1" customWidth="1"/>
    <col min="391" max="391" width="8" bestFit="1" customWidth="1"/>
    <col min="392" max="413" width="7" bestFit="1" customWidth="1"/>
    <col min="414" max="414" width="8" bestFit="1" customWidth="1"/>
    <col min="415" max="418" width="7" bestFit="1" customWidth="1"/>
    <col min="419" max="419" width="8" bestFit="1" customWidth="1"/>
    <col min="420" max="421" width="7" bestFit="1" customWidth="1"/>
    <col min="422" max="422" width="4" bestFit="1" customWidth="1"/>
    <col min="423" max="426" width="7" bestFit="1" customWidth="1"/>
    <col min="427" max="432" width="8" bestFit="1" customWidth="1"/>
    <col min="433" max="433" width="7" bestFit="1" customWidth="1"/>
    <col min="434" max="435" width="8" bestFit="1" customWidth="1"/>
    <col min="436" max="436" width="7" bestFit="1" customWidth="1"/>
    <col min="437" max="437" width="8" bestFit="1" customWidth="1"/>
    <col min="438" max="442" width="7" bestFit="1" customWidth="1"/>
    <col min="443" max="443" width="8" bestFit="1" customWidth="1"/>
    <col min="444" max="447" width="7" bestFit="1" customWidth="1"/>
    <col min="448" max="449" width="8" bestFit="1" customWidth="1"/>
    <col min="450" max="455" width="7" bestFit="1" customWidth="1"/>
    <col min="456" max="457" width="8" bestFit="1" customWidth="1"/>
    <col min="458" max="458" width="6" bestFit="1" customWidth="1"/>
    <col min="459" max="459" width="8" bestFit="1" customWidth="1"/>
    <col min="460" max="467" width="7" bestFit="1" customWidth="1"/>
    <col min="468" max="468" width="8" bestFit="1" customWidth="1"/>
    <col min="469" max="469" width="7" bestFit="1" customWidth="1"/>
    <col min="470" max="472" width="8" bestFit="1" customWidth="1"/>
    <col min="473" max="477" width="7" bestFit="1" customWidth="1"/>
    <col min="478" max="479" width="8" bestFit="1" customWidth="1"/>
    <col min="480" max="482" width="7" bestFit="1" customWidth="1"/>
    <col min="483" max="484" width="8" bestFit="1" customWidth="1"/>
    <col min="485" max="487" width="7" bestFit="1" customWidth="1"/>
    <col min="488" max="489" width="8" bestFit="1" customWidth="1"/>
    <col min="490" max="493" width="7" bestFit="1" customWidth="1"/>
    <col min="494" max="494" width="6" bestFit="1" customWidth="1"/>
    <col min="495" max="498" width="7" bestFit="1" customWidth="1"/>
    <col min="499" max="501" width="8" bestFit="1" customWidth="1"/>
    <col min="502" max="509" width="7" bestFit="1" customWidth="1"/>
    <col min="510" max="510" width="8" bestFit="1" customWidth="1"/>
    <col min="511" max="514" width="7" bestFit="1" customWidth="1"/>
    <col min="515" max="515" width="8" bestFit="1" customWidth="1"/>
    <col min="516" max="516" width="7" bestFit="1" customWidth="1"/>
    <col min="517" max="517" width="8" bestFit="1" customWidth="1"/>
    <col min="518" max="519" width="7" bestFit="1" customWidth="1"/>
    <col min="520" max="521" width="8" bestFit="1" customWidth="1"/>
    <col min="522" max="522" width="6" bestFit="1" customWidth="1"/>
    <col min="523" max="523" width="8" bestFit="1" customWidth="1"/>
    <col min="524" max="524" width="6" bestFit="1" customWidth="1"/>
    <col min="525" max="528" width="7" bestFit="1" customWidth="1"/>
    <col min="529" max="530" width="8" bestFit="1" customWidth="1"/>
    <col min="531" max="532" width="7" bestFit="1" customWidth="1"/>
    <col min="533" max="533" width="8" bestFit="1" customWidth="1"/>
    <col min="534" max="536" width="7" bestFit="1" customWidth="1"/>
    <col min="537" max="537" width="6" bestFit="1" customWidth="1"/>
    <col min="538" max="538" width="7" bestFit="1" customWidth="1"/>
    <col min="539" max="539" width="8" bestFit="1" customWidth="1"/>
    <col min="540" max="540" width="7" bestFit="1" customWidth="1"/>
    <col min="541" max="541" width="8" bestFit="1" customWidth="1"/>
    <col min="542" max="543" width="7" bestFit="1" customWidth="1"/>
    <col min="544" max="545" width="8" bestFit="1" customWidth="1"/>
    <col min="546" max="554" width="7" bestFit="1" customWidth="1"/>
    <col min="555" max="555" width="6" bestFit="1" customWidth="1"/>
    <col min="556" max="556" width="7" bestFit="1" customWidth="1"/>
    <col min="557" max="557" width="8" bestFit="1" customWidth="1"/>
    <col min="558" max="560" width="7" bestFit="1" customWidth="1"/>
    <col min="561" max="561" width="8" bestFit="1" customWidth="1"/>
    <col min="562" max="562" width="7" bestFit="1" customWidth="1"/>
    <col min="563" max="563" width="8" bestFit="1" customWidth="1"/>
    <col min="564" max="565" width="7" bestFit="1" customWidth="1"/>
    <col min="566" max="566" width="8" bestFit="1" customWidth="1"/>
    <col min="567" max="574" width="7" bestFit="1" customWidth="1"/>
    <col min="575" max="576" width="8" bestFit="1" customWidth="1"/>
    <col min="577" max="577" width="7" bestFit="1" customWidth="1"/>
    <col min="578" max="578" width="6" bestFit="1" customWidth="1"/>
    <col min="579" max="582" width="7" bestFit="1" customWidth="1"/>
    <col min="583" max="584" width="8" bestFit="1" customWidth="1"/>
    <col min="585" max="585" width="7" bestFit="1" customWidth="1"/>
    <col min="586" max="586" width="8" bestFit="1" customWidth="1"/>
    <col min="587" max="588" width="7" bestFit="1" customWidth="1"/>
    <col min="589" max="591" width="8" bestFit="1" customWidth="1"/>
    <col min="592" max="593" width="7" bestFit="1" customWidth="1"/>
    <col min="594" max="594" width="8" bestFit="1" customWidth="1"/>
    <col min="595" max="595" width="7" bestFit="1" customWidth="1"/>
    <col min="596" max="596" width="8" bestFit="1" customWidth="1"/>
    <col min="597" max="601" width="7" bestFit="1" customWidth="1"/>
    <col min="602" max="603" width="8" bestFit="1" customWidth="1"/>
    <col min="604" max="604" width="7" bestFit="1" customWidth="1"/>
    <col min="605" max="605" width="8" bestFit="1" customWidth="1"/>
    <col min="606" max="608" width="7" bestFit="1" customWidth="1"/>
    <col min="609" max="609" width="6" bestFit="1" customWidth="1"/>
    <col min="610" max="612" width="7" bestFit="1" customWidth="1"/>
    <col min="613" max="613" width="6" bestFit="1" customWidth="1"/>
    <col min="614" max="616" width="8" bestFit="1" customWidth="1"/>
    <col min="617" max="618" width="7" bestFit="1" customWidth="1"/>
    <col min="619" max="619" width="8" bestFit="1" customWidth="1"/>
    <col min="620" max="620" width="7" bestFit="1" customWidth="1"/>
    <col min="621" max="621" width="8" bestFit="1" customWidth="1"/>
    <col min="622" max="622" width="7" bestFit="1" customWidth="1"/>
    <col min="623" max="624" width="8" bestFit="1" customWidth="1"/>
    <col min="625" max="626" width="7" bestFit="1" customWidth="1"/>
    <col min="627" max="628" width="8" bestFit="1" customWidth="1"/>
    <col min="629" max="630" width="7" bestFit="1" customWidth="1"/>
    <col min="631" max="631" width="8" bestFit="1" customWidth="1"/>
    <col min="632" max="632" width="7" bestFit="1" customWidth="1"/>
    <col min="633" max="633" width="8" bestFit="1" customWidth="1"/>
    <col min="634" max="637" width="7" bestFit="1" customWidth="1"/>
    <col min="638" max="638" width="8" bestFit="1" customWidth="1"/>
    <col min="639" max="640" width="7" bestFit="1" customWidth="1"/>
    <col min="641" max="641" width="8" bestFit="1" customWidth="1"/>
    <col min="642" max="644" width="7" bestFit="1" customWidth="1"/>
    <col min="645" max="645" width="6" bestFit="1" customWidth="1"/>
    <col min="646" max="646" width="7" bestFit="1" customWidth="1"/>
    <col min="647" max="647" width="5" bestFit="1" customWidth="1"/>
    <col min="648" max="648" width="7" bestFit="1" customWidth="1"/>
    <col min="649" max="650" width="8" bestFit="1" customWidth="1"/>
    <col min="651" max="654" width="7" bestFit="1" customWidth="1"/>
    <col min="655" max="655" width="8" bestFit="1" customWidth="1"/>
    <col min="656" max="656" width="7" bestFit="1" customWidth="1"/>
    <col min="657" max="661" width="8" bestFit="1" customWidth="1"/>
    <col min="662" max="665" width="7" bestFit="1" customWidth="1"/>
    <col min="666" max="666" width="8" bestFit="1" customWidth="1"/>
    <col min="667" max="667" width="7" bestFit="1" customWidth="1"/>
    <col min="668" max="668" width="8" bestFit="1" customWidth="1"/>
    <col min="669" max="669" width="7" bestFit="1" customWidth="1"/>
    <col min="670" max="671" width="8" bestFit="1" customWidth="1"/>
    <col min="672" max="672" width="7" bestFit="1" customWidth="1"/>
    <col min="673" max="673" width="8" bestFit="1" customWidth="1"/>
    <col min="674" max="674" width="6" bestFit="1" customWidth="1"/>
    <col min="675" max="675" width="7" bestFit="1" customWidth="1"/>
    <col min="676" max="676" width="8" bestFit="1" customWidth="1"/>
    <col min="677" max="678" width="7" bestFit="1" customWidth="1"/>
    <col min="679" max="679" width="8" bestFit="1" customWidth="1"/>
    <col min="680" max="681" width="7" bestFit="1" customWidth="1"/>
    <col min="682" max="685" width="8" bestFit="1" customWidth="1"/>
    <col min="686" max="687" width="7" bestFit="1" customWidth="1"/>
    <col min="688" max="688" width="6" bestFit="1" customWidth="1"/>
    <col min="689" max="689" width="8" bestFit="1" customWidth="1"/>
    <col min="690" max="691" width="7" bestFit="1" customWidth="1"/>
    <col min="692" max="693" width="8" bestFit="1" customWidth="1"/>
    <col min="694" max="699" width="7" bestFit="1" customWidth="1"/>
    <col min="700" max="700" width="8" bestFit="1" customWidth="1"/>
    <col min="701" max="702" width="7" bestFit="1" customWidth="1"/>
    <col min="703" max="703" width="6" bestFit="1" customWidth="1"/>
    <col min="704" max="704" width="8" bestFit="1" customWidth="1"/>
    <col min="705" max="705" width="7" bestFit="1" customWidth="1"/>
    <col min="706" max="706" width="8" bestFit="1" customWidth="1"/>
    <col min="707" max="707" width="7" bestFit="1" customWidth="1"/>
    <col min="708" max="708" width="6" bestFit="1" customWidth="1"/>
    <col min="709" max="709" width="8" bestFit="1" customWidth="1"/>
    <col min="710" max="710" width="7" bestFit="1" customWidth="1"/>
    <col min="711" max="711" width="8" bestFit="1" customWidth="1"/>
    <col min="712" max="712" width="7" bestFit="1" customWidth="1"/>
    <col min="713" max="713" width="8" bestFit="1" customWidth="1"/>
    <col min="714" max="714" width="7" bestFit="1" customWidth="1"/>
    <col min="715" max="715" width="6" bestFit="1" customWidth="1"/>
    <col min="716" max="718" width="7" bestFit="1" customWidth="1"/>
    <col min="719" max="724" width="8" bestFit="1" customWidth="1"/>
    <col min="725" max="725" width="7" bestFit="1" customWidth="1"/>
    <col min="726" max="726" width="8" bestFit="1" customWidth="1"/>
    <col min="727" max="727" width="7" bestFit="1" customWidth="1"/>
    <col min="728" max="728" width="8" bestFit="1" customWidth="1"/>
    <col min="729" max="729" width="7" bestFit="1" customWidth="1"/>
    <col min="730" max="730" width="8" bestFit="1" customWidth="1"/>
    <col min="731" max="731" width="7" bestFit="1" customWidth="1"/>
    <col min="732" max="732" width="8" bestFit="1" customWidth="1"/>
    <col min="733" max="733" width="6" bestFit="1" customWidth="1"/>
    <col min="734" max="735" width="8" bestFit="1" customWidth="1"/>
    <col min="736" max="737" width="7" bestFit="1" customWidth="1"/>
    <col min="738" max="738" width="8" bestFit="1" customWidth="1"/>
    <col min="739" max="745" width="7" bestFit="1" customWidth="1"/>
    <col min="746" max="746" width="8" bestFit="1" customWidth="1"/>
    <col min="747" max="747" width="7" bestFit="1" customWidth="1"/>
    <col min="748" max="749" width="8" bestFit="1" customWidth="1"/>
    <col min="750" max="753" width="7" bestFit="1" customWidth="1"/>
    <col min="754" max="756" width="8" bestFit="1" customWidth="1"/>
    <col min="757" max="758" width="7" bestFit="1" customWidth="1"/>
    <col min="759" max="760" width="8" bestFit="1" customWidth="1"/>
    <col min="761" max="762" width="7" bestFit="1" customWidth="1"/>
    <col min="763" max="763" width="8" bestFit="1" customWidth="1"/>
    <col min="764" max="765" width="7" bestFit="1" customWidth="1"/>
    <col min="766" max="767" width="8" bestFit="1" customWidth="1"/>
    <col min="768" max="768" width="7" bestFit="1" customWidth="1"/>
    <col min="769" max="769" width="6" bestFit="1" customWidth="1"/>
    <col min="770" max="770" width="7" bestFit="1" customWidth="1"/>
    <col min="771" max="772" width="8" bestFit="1" customWidth="1"/>
    <col min="773" max="775" width="7" bestFit="1" customWidth="1"/>
    <col min="776" max="776" width="8" bestFit="1" customWidth="1"/>
    <col min="777" max="780" width="7" bestFit="1" customWidth="1"/>
    <col min="781" max="784" width="8" bestFit="1" customWidth="1"/>
    <col min="785" max="785" width="6" bestFit="1" customWidth="1"/>
    <col min="786" max="787" width="7" bestFit="1" customWidth="1"/>
    <col min="788" max="788" width="8" bestFit="1" customWidth="1"/>
    <col min="789" max="791" width="7" bestFit="1" customWidth="1"/>
    <col min="792" max="793" width="8" bestFit="1" customWidth="1"/>
    <col min="794" max="794" width="7" bestFit="1" customWidth="1"/>
    <col min="795" max="795" width="8" bestFit="1" customWidth="1"/>
    <col min="796" max="796" width="7" bestFit="1" customWidth="1"/>
    <col min="797" max="801" width="8" bestFit="1" customWidth="1"/>
    <col min="802" max="802" width="7" bestFit="1" customWidth="1"/>
    <col min="803" max="804" width="8" bestFit="1" customWidth="1"/>
    <col min="805" max="805" width="7" bestFit="1" customWidth="1"/>
    <col min="806" max="806" width="8" bestFit="1" customWidth="1"/>
    <col min="807" max="807" width="6" bestFit="1" customWidth="1"/>
    <col min="808" max="809" width="8" bestFit="1" customWidth="1"/>
    <col min="810" max="810" width="7" bestFit="1" customWidth="1"/>
    <col min="811" max="812" width="8" bestFit="1" customWidth="1"/>
    <col min="813" max="813" width="7" bestFit="1" customWidth="1"/>
    <col min="814" max="815" width="8" bestFit="1" customWidth="1"/>
    <col min="816" max="818" width="7" bestFit="1" customWidth="1"/>
    <col min="819" max="819" width="8" bestFit="1" customWidth="1"/>
    <col min="820" max="820" width="7" bestFit="1" customWidth="1"/>
    <col min="821" max="821" width="8" bestFit="1" customWidth="1"/>
    <col min="822" max="823" width="7" bestFit="1" customWidth="1"/>
    <col min="824" max="824" width="8" bestFit="1" customWidth="1"/>
    <col min="825" max="826" width="7" bestFit="1" customWidth="1"/>
    <col min="827" max="828" width="8" bestFit="1" customWidth="1"/>
    <col min="829" max="829" width="7" bestFit="1" customWidth="1"/>
    <col min="830" max="830" width="6" bestFit="1" customWidth="1"/>
    <col min="831" max="831" width="8" bestFit="1" customWidth="1"/>
    <col min="832" max="832" width="6" bestFit="1" customWidth="1"/>
    <col min="833" max="835" width="8" bestFit="1" customWidth="1"/>
    <col min="836" max="836" width="7" bestFit="1" customWidth="1"/>
    <col min="837" max="839" width="8" bestFit="1" customWidth="1"/>
    <col min="840" max="840" width="6" bestFit="1" customWidth="1"/>
    <col min="841" max="842" width="7" bestFit="1" customWidth="1"/>
    <col min="843" max="843" width="8" bestFit="1" customWidth="1"/>
    <col min="844" max="845" width="7" bestFit="1" customWidth="1"/>
    <col min="846" max="847" width="8" bestFit="1" customWidth="1"/>
    <col min="848" max="848" width="5" bestFit="1" customWidth="1"/>
    <col min="849" max="850" width="7" bestFit="1" customWidth="1"/>
    <col min="851" max="856" width="8" bestFit="1" customWidth="1"/>
    <col min="857" max="859" width="7" bestFit="1" customWidth="1"/>
    <col min="860" max="868" width="8" bestFit="1" customWidth="1"/>
    <col min="869" max="869" width="7" bestFit="1" customWidth="1"/>
    <col min="870" max="874" width="8" bestFit="1" customWidth="1"/>
    <col min="875" max="875" width="7" bestFit="1" customWidth="1"/>
    <col min="876" max="878" width="8" bestFit="1" customWidth="1"/>
    <col min="879" max="881" width="7" bestFit="1" customWidth="1"/>
    <col min="882" max="884" width="8" bestFit="1" customWidth="1"/>
    <col min="885" max="885" width="6" bestFit="1" customWidth="1"/>
    <col min="886" max="886" width="8" bestFit="1" customWidth="1"/>
    <col min="887" max="887" width="7" bestFit="1" customWidth="1"/>
    <col min="888" max="890" width="8" bestFit="1" customWidth="1"/>
    <col min="891" max="892" width="7" bestFit="1" customWidth="1"/>
    <col min="893" max="894" width="8" bestFit="1" customWidth="1"/>
    <col min="895" max="899" width="7" bestFit="1" customWidth="1"/>
    <col min="900" max="900" width="8" bestFit="1" customWidth="1"/>
    <col min="901" max="902" width="7" bestFit="1" customWidth="1"/>
    <col min="903" max="903" width="8" bestFit="1" customWidth="1"/>
    <col min="904" max="904" width="7" bestFit="1" customWidth="1"/>
    <col min="905" max="905" width="8" bestFit="1" customWidth="1"/>
    <col min="906" max="907" width="7" bestFit="1" customWidth="1"/>
    <col min="908" max="909" width="8" bestFit="1" customWidth="1"/>
    <col min="910" max="910" width="7" bestFit="1" customWidth="1"/>
    <col min="911" max="912" width="8" bestFit="1" customWidth="1"/>
    <col min="913" max="913" width="7" bestFit="1" customWidth="1"/>
    <col min="914" max="915" width="8" bestFit="1" customWidth="1"/>
    <col min="916" max="916" width="7" bestFit="1" customWidth="1"/>
    <col min="917" max="921" width="8" bestFit="1" customWidth="1"/>
    <col min="922" max="922" width="6" bestFit="1" customWidth="1"/>
    <col min="923" max="927" width="7" bestFit="1" customWidth="1"/>
    <col min="928" max="928" width="8" bestFit="1" customWidth="1"/>
    <col min="929" max="929" width="7" bestFit="1" customWidth="1"/>
    <col min="930" max="934" width="8" bestFit="1" customWidth="1"/>
    <col min="935" max="938" width="7" bestFit="1" customWidth="1"/>
    <col min="939" max="944" width="8" bestFit="1" customWidth="1"/>
    <col min="945" max="945" width="7" bestFit="1" customWidth="1"/>
    <col min="946" max="949" width="8" bestFit="1" customWidth="1"/>
    <col min="950" max="950" width="7" bestFit="1" customWidth="1"/>
    <col min="951" max="955" width="8" bestFit="1" customWidth="1"/>
    <col min="956" max="956" width="7" bestFit="1" customWidth="1"/>
    <col min="957" max="957" width="8" bestFit="1" customWidth="1"/>
    <col min="958" max="958" width="7" bestFit="1" customWidth="1"/>
    <col min="959" max="959" width="8" bestFit="1" customWidth="1"/>
    <col min="960" max="960" width="7" bestFit="1" customWidth="1"/>
    <col min="961" max="961" width="8" bestFit="1" customWidth="1"/>
    <col min="962" max="962" width="7" bestFit="1" customWidth="1"/>
    <col min="963" max="965" width="8" bestFit="1" customWidth="1"/>
    <col min="966" max="967" width="7" bestFit="1" customWidth="1"/>
    <col min="968" max="968" width="8" bestFit="1" customWidth="1"/>
    <col min="969" max="969" width="7" bestFit="1" customWidth="1"/>
    <col min="970" max="974" width="8" bestFit="1" customWidth="1"/>
    <col min="975" max="976" width="7" bestFit="1" customWidth="1"/>
    <col min="977" max="977" width="8" bestFit="1" customWidth="1"/>
    <col min="978" max="978" width="6" bestFit="1" customWidth="1"/>
    <col min="979" max="979" width="7" bestFit="1" customWidth="1"/>
    <col min="980" max="982" width="8" bestFit="1" customWidth="1"/>
    <col min="983" max="983" width="7" bestFit="1" customWidth="1"/>
    <col min="984" max="984" width="8" bestFit="1" customWidth="1"/>
    <col min="985" max="985" width="7" bestFit="1" customWidth="1"/>
    <col min="986" max="993" width="8" bestFit="1" customWidth="1"/>
    <col min="994" max="994" width="7" bestFit="1" customWidth="1"/>
    <col min="995" max="996" width="8" bestFit="1" customWidth="1"/>
    <col min="997" max="997" width="7" bestFit="1" customWidth="1"/>
    <col min="998" max="998" width="8" bestFit="1" customWidth="1"/>
    <col min="999" max="999" width="6" bestFit="1" customWidth="1"/>
    <col min="1000" max="1001" width="7" bestFit="1" customWidth="1"/>
    <col min="1002" max="1002" width="8" bestFit="1" customWidth="1"/>
    <col min="1003" max="1004" width="7" bestFit="1" customWidth="1"/>
    <col min="1005" max="1006" width="8" bestFit="1" customWidth="1"/>
    <col min="1007" max="1007" width="7" bestFit="1" customWidth="1"/>
    <col min="1008" max="1009" width="8" bestFit="1" customWidth="1"/>
    <col min="1010" max="1011" width="7" bestFit="1" customWidth="1"/>
    <col min="1012" max="1014" width="8" bestFit="1" customWidth="1"/>
    <col min="1015" max="1015" width="7" bestFit="1" customWidth="1"/>
    <col min="1016" max="1019" width="8" bestFit="1" customWidth="1"/>
    <col min="1020" max="1021" width="7" bestFit="1" customWidth="1"/>
    <col min="1022" max="1022" width="8" bestFit="1" customWidth="1"/>
    <col min="1023" max="1023" width="7" bestFit="1" customWidth="1"/>
    <col min="1024" max="1026" width="8" bestFit="1" customWidth="1"/>
    <col min="1027" max="1027" width="7" bestFit="1" customWidth="1"/>
    <col min="1028" max="1029" width="8" bestFit="1" customWidth="1"/>
    <col min="1030" max="1030" width="7" bestFit="1" customWidth="1"/>
    <col min="1031" max="1031" width="8" bestFit="1" customWidth="1"/>
    <col min="1032" max="1033" width="7" bestFit="1" customWidth="1"/>
    <col min="1034" max="1035" width="8" bestFit="1" customWidth="1"/>
    <col min="1036" max="1036" width="7" bestFit="1" customWidth="1"/>
    <col min="1037" max="1037" width="8" bestFit="1" customWidth="1"/>
    <col min="1038" max="1038" width="7" bestFit="1" customWidth="1"/>
    <col min="1039" max="1039" width="8" bestFit="1" customWidth="1"/>
    <col min="1040" max="1040" width="7" bestFit="1" customWidth="1"/>
    <col min="1041" max="1045" width="8" bestFit="1" customWidth="1"/>
    <col min="1046" max="1046" width="7" bestFit="1" customWidth="1"/>
    <col min="1047" max="1047" width="8" bestFit="1" customWidth="1"/>
    <col min="1048" max="1049" width="7" bestFit="1" customWidth="1"/>
    <col min="1050" max="1051" width="8" bestFit="1" customWidth="1"/>
    <col min="1052" max="1052" width="6" bestFit="1" customWidth="1"/>
    <col min="1053" max="1053" width="8" bestFit="1" customWidth="1"/>
    <col min="1054" max="1054" width="7" bestFit="1" customWidth="1"/>
    <col min="1055" max="1055" width="8" bestFit="1" customWidth="1"/>
    <col min="1056" max="1057" width="7" bestFit="1" customWidth="1"/>
    <col min="1058" max="1061" width="8" bestFit="1" customWidth="1"/>
    <col min="1062" max="1062" width="4" bestFit="1" customWidth="1"/>
    <col min="1063" max="1063" width="8" bestFit="1" customWidth="1"/>
    <col min="1064" max="1064" width="7" bestFit="1" customWidth="1"/>
    <col min="1065" max="1066" width="8" bestFit="1" customWidth="1"/>
    <col min="1067" max="1067" width="6" bestFit="1" customWidth="1"/>
    <col min="1068" max="1068" width="7" bestFit="1" customWidth="1"/>
    <col min="1069" max="1069" width="6" bestFit="1" customWidth="1"/>
    <col min="1070" max="1070" width="7" bestFit="1" customWidth="1"/>
    <col min="1071" max="1072" width="8" bestFit="1" customWidth="1"/>
    <col min="1073" max="1075" width="7" bestFit="1" customWidth="1"/>
    <col min="1076" max="1078" width="8" bestFit="1" customWidth="1"/>
    <col min="1079" max="1079" width="7" bestFit="1" customWidth="1"/>
    <col min="1080" max="1081" width="8" bestFit="1" customWidth="1"/>
    <col min="1082" max="1082" width="5" bestFit="1" customWidth="1"/>
    <col min="1083" max="1083" width="7" bestFit="1" customWidth="1"/>
    <col min="1084" max="1084" width="6" bestFit="1" customWidth="1"/>
    <col min="1085" max="1085" width="7" bestFit="1" customWidth="1"/>
    <col min="1086" max="1087" width="8" bestFit="1" customWidth="1"/>
    <col min="1088" max="1088" width="7" bestFit="1" customWidth="1"/>
    <col min="1089" max="1089" width="6" bestFit="1" customWidth="1"/>
    <col min="1090" max="1090" width="7" bestFit="1" customWidth="1"/>
    <col min="1091" max="1091" width="8" bestFit="1" customWidth="1"/>
    <col min="1092" max="1092" width="7" bestFit="1" customWidth="1"/>
    <col min="1093" max="1093" width="8" bestFit="1" customWidth="1"/>
    <col min="1094" max="1094" width="7" bestFit="1" customWidth="1"/>
    <col min="1095" max="1098" width="8" bestFit="1" customWidth="1"/>
    <col min="1099" max="1100" width="7" bestFit="1" customWidth="1"/>
    <col min="1101" max="1101" width="8" bestFit="1" customWidth="1"/>
    <col min="1102" max="1103" width="7" bestFit="1" customWidth="1"/>
    <col min="1104" max="1112" width="8" bestFit="1" customWidth="1"/>
    <col min="1113" max="1114" width="7" bestFit="1" customWidth="1"/>
    <col min="1115" max="1117" width="8" bestFit="1" customWidth="1"/>
    <col min="1118" max="1118" width="7" bestFit="1" customWidth="1"/>
    <col min="1119" max="1120" width="8" bestFit="1" customWidth="1"/>
    <col min="1121" max="1121" width="7" bestFit="1" customWidth="1"/>
    <col min="1122" max="1123" width="8" bestFit="1" customWidth="1"/>
    <col min="1124" max="1124" width="7" bestFit="1" customWidth="1"/>
    <col min="1125" max="1126" width="8" bestFit="1" customWidth="1"/>
    <col min="1127" max="1127" width="7" bestFit="1" customWidth="1"/>
    <col min="1128" max="1133" width="8" bestFit="1" customWidth="1"/>
    <col min="1134" max="1134" width="7" bestFit="1" customWidth="1"/>
    <col min="1135" max="1136" width="8" bestFit="1" customWidth="1"/>
    <col min="1137" max="1137" width="7" bestFit="1" customWidth="1"/>
    <col min="1138" max="1140" width="8" bestFit="1" customWidth="1"/>
    <col min="1141" max="1141" width="7" bestFit="1" customWidth="1"/>
    <col min="1142" max="1144" width="8" bestFit="1" customWidth="1"/>
    <col min="1145" max="1145" width="7" bestFit="1" customWidth="1"/>
    <col min="1146" max="1146" width="8" bestFit="1" customWidth="1"/>
    <col min="1147" max="1147" width="6" bestFit="1" customWidth="1"/>
    <col min="1148" max="1149" width="8" bestFit="1" customWidth="1"/>
    <col min="1150" max="1150" width="7" bestFit="1" customWidth="1"/>
    <col min="1151" max="1151" width="8" bestFit="1" customWidth="1"/>
    <col min="1152" max="1153" width="7" bestFit="1" customWidth="1"/>
    <col min="1154" max="1154" width="8" bestFit="1" customWidth="1"/>
    <col min="1155" max="1159" width="7" bestFit="1" customWidth="1"/>
    <col min="1160" max="1160" width="8" bestFit="1" customWidth="1"/>
    <col min="1161" max="1161" width="7" bestFit="1" customWidth="1"/>
    <col min="1162" max="1162" width="8" bestFit="1" customWidth="1"/>
    <col min="1163" max="1165" width="7" bestFit="1" customWidth="1"/>
    <col min="1166" max="1166" width="8" bestFit="1" customWidth="1"/>
    <col min="1167" max="1170" width="7" bestFit="1" customWidth="1"/>
    <col min="1171" max="1172" width="8" bestFit="1" customWidth="1"/>
    <col min="1173" max="1174" width="7" bestFit="1" customWidth="1"/>
    <col min="1175" max="1175" width="8" bestFit="1" customWidth="1"/>
    <col min="1176" max="1177" width="7" bestFit="1" customWidth="1"/>
    <col min="1178" max="1178" width="8" bestFit="1" customWidth="1"/>
    <col min="1179" max="1179" width="7" bestFit="1" customWidth="1"/>
    <col min="1180" max="1184" width="8" bestFit="1" customWidth="1"/>
    <col min="1185" max="1185" width="7" bestFit="1" customWidth="1"/>
    <col min="1186" max="1186" width="6" bestFit="1" customWidth="1"/>
    <col min="1187" max="1187" width="7" bestFit="1" customWidth="1"/>
    <col min="1188" max="1190" width="8" bestFit="1" customWidth="1"/>
    <col min="1191" max="1191" width="6" bestFit="1" customWidth="1"/>
    <col min="1192" max="1194" width="8" bestFit="1" customWidth="1"/>
    <col min="1195" max="1195" width="11.28515625" bestFit="1" customWidth="1"/>
  </cols>
  <sheetData>
    <row r="1" spans="1:9" x14ac:dyDescent="0.25">
      <c r="A1" s="4" t="s">
        <v>4303</v>
      </c>
    </row>
    <row r="2" spans="1:9" x14ac:dyDescent="0.25">
      <c r="A2" t="s">
        <v>4284</v>
      </c>
      <c r="B2" t="s">
        <v>4285</v>
      </c>
      <c r="C2" t="s">
        <v>4286</v>
      </c>
    </row>
    <row r="3" spans="1:9" x14ac:dyDescent="0.25">
      <c r="A3">
        <v>1264761.9600000004</v>
      </c>
      <c r="B3">
        <v>3535</v>
      </c>
      <c r="C3">
        <v>1200</v>
      </c>
    </row>
    <row r="5" spans="1:9" x14ac:dyDescent="0.25">
      <c r="A5" s="4" t="s">
        <v>4306</v>
      </c>
      <c r="E5" s="4" t="s">
        <v>4317</v>
      </c>
    </row>
    <row r="6" spans="1:9" x14ac:dyDescent="0.25">
      <c r="A6" s="2" t="s">
        <v>4304</v>
      </c>
      <c r="B6" t="s">
        <v>4284</v>
      </c>
      <c r="C6" t="s">
        <v>4286</v>
      </c>
      <c r="E6" s="2" t="s">
        <v>4305</v>
      </c>
      <c r="F6" t="s">
        <v>4284</v>
      </c>
      <c r="H6" s="4" t="s">
        <v>4316</v>
      </c>
    </row>
    <row r="7" spans="1:9" x14ac:dyDescent="0.25">
      <c r="A7" s="3" t="s">
        <v>27</v>
      </c>
      <c r="B7">
        <v>262442.94000000012</v>
      </c>
      <c r="C7">
        <v>258</v>
      </c>
      <c r="E7" s="3" t="s">
        <v>1066</v>
      </c>
      <c r="F7">
        <v>5723.23</v>
      </c>
      <c r="H7" s="2" t="s">
        <v>4315</v>
      </c>
      <c r="I7" t="s">
        <v>4284</v>
      </c>
    </row>
    <row r="8" spans="1:9" x14ac:dyDescent="0.25">
      <c r="A8" s="3" t="s">
        <v>65</v>
      </c>
      <c r="B8">
        <v>259786.28999999992</v>
      </c>
      <c r="C8">
        <v>246</v>
      </c>
      <c r="E8" s="3" t="s">
        <v>2919</v>
      </c>
      <c r="F8">
        <v>3456.4</v>
      </c>
      <c r="H8" s="3" t="s">
        <v>37</v>
      </c>
      <c r="I8">
        <v>335036.99000000028</v>
      </c>
    </row>
    <row r="9" spans="1:9" x14ac:dyDescent="0.25">
      <c r="A9" s="3" t="s">
        <v>34</v>
      </c>
      <c r="B9">
        <v>263847.62999999989</v>
      </c>
      <c r="C9">
        <v>234</v>
      </c>
      <c r="E9" s="3" t="s">
        <v>2378</v>
      </c>
      <c r="F9">
        <v>3390.8</v>
      </c>
      <c r="H9" s="3" t="s">
        <v>71</v>
      </c>
      <c r="I9">
        <v>322401.40999999992</v>
      </c>
    </row>
    <row r="10" spans="1:9" x14ac:dyDescent="0.25">
      <c r="A10" s="3" t="s">
        <v>18</v>
      </c>
      <c r="B10">
        <v>232361.17999999996</v>
      </c>
      <c r="C10">
        <v>232</v>
      </c>
      <c r="E10" s="3" t="s">
        <v>1812</v>
      </c>
      <c r="F10">
        <v>3384.9</v>
      </c>
      <c r="H10" s="3" t="s">
        <v>21</v>
      </c>
      <c r="I10">
        <v>304840.02</v>
      </c>
    </row>
    <row r="11" spans="1:9" x14ac:dyDescent="0.25">
      <c r="A11" s="3" t="s">
        <v>60</v>
      </c>
      <c r="B11">
        <v>246323.9200000001</v>
      </c>
      <c r="C11">
        <v>230</v>
      </c>
      <c r="E11" s="3" t="s">
        <v>1299</v>
      </c>
      <c r="F11">
        <v>3370.2</v>
      </c>
      <c r="H11" s="3" t="s">
        <v>82</v>
      </c>
      <c r="I11">
        <v>302483.54000000021</v>
      </c>
    </row>
    <row r="12" spans="1:9" x14ac:dyDescent="0.25">
      <c r="E12" s="3" t="s">
        <v>4287</v>
      </c>
      <c r="F12">
        <v>19325.53</v>
      </c>
    </row>
    <row r="13" spans="1:9" x14ac:dyDescent="0.25">
      <c r="A13" s="4" t="s">
        <v>4308</v>
      </c>
    </row>
    <row r="14" spans="1:9" x14ac:dyDescent="0.25">
      <c r="A14" s="2" t="s">
        <v>4307</v>
      </c>
      <c r="B14" t="s">
        <v>4284</v>
      </c>
      <c r="D14" s="4" t="s">
        <v>4313</v>
      </c>
    </row>
    <row r="15" spans="1:9" x14ac:dyDescent="0.25">
      <c r="A15" s="3" t="s">
        <v>4288</v>
      </c>
      <c r="B15">
        <v>552643.23999999976</v>
      </c>
      <c r="D15" s="2" t="s">
        <v>4284</v>
      </c>
      <c r="E15" s="2" t="s">
        <v>4311</v>
      </c>
    </row>
    <row r="16" spans="1:9" x14ac:dyDescent="0.25">
      <c r="A16" s="3" t="s">
        <v>4292</v>
      </c>
      <c r="B16">
        <v>480235.87000000034</v>
      </c>
      <c r="D16" s="2" t="s">
        <v>4312</v>
      </c>
      <c r="E16">
        <v>629.34</v>
      </c>
      <c r="F16">
        <v>676.98</v>
      </c>
      <c r="G16">
        <v>678.16</v>
      </c>
      <c r="H16">
        <v>678.19</v>
      </c>
      <c r="I16">
        <v>691.28</v>
      </c>
    </row>
    <row r="17" spans="1:11" x14ac:dyDescent="0.25">
      <c r="A17" s="3" t="s">
        <v>4302</v>
      </c>
      <c r="B17">
        <v>231882.85000000006</v>
      </c>
      <c r="D17" s="3">
        <v>4</v>
      </c>
      <c r="E17">
        <v>5034.72</v>
      </c>
    </row>
    <row r="18" spans="1:11" x14ac:dyDescent="0.25">
      <c r="D18" s="3">
        <v>5</v>
      </c>
      <c r="F18">
        <v>3384.9</v>
      </c>
      <c r="G18">
        <v>3390.8</v>
      </c>
      <c r="H18">
        <v>3390.95</v>
      </c>
      <c r="I18">
        <v>3456.4</v>
      </c>
    </row>
    <row r="19" spans="1:11" x14ac:dyDescent="0.25">
      <c r="A19" s="4" t="s">
        <v>4309</v>
      </c>
    </row>
    <row r="20" spans="1:11" x14ac:dyDescent="0.25">
      <c r="A20" s="2" t="s">
        <v>4310</v>
      </c>
      <c r="B20" t="s">
        <v>4284</v>
      </c>
    </row>
    <row r="21" spans="1:11" x14ac:dyDescent="0.25">
      <c r="A21" s="3" t="s">
        <v>4291</v>
      </c>
      <c r="B21">
        <v>170616.13000000006</v>
      </c>
      <c r="D21" s="4" t="s">
        <v>4314</v>
      </c>
      <c r="G21" s="4" t="s">
        <v>4318</v>
      </c>
    </row>
    <row r="22" spans="1:11" x14ac:dyDescent="0.25">
      <c r="A22" s="3" t="s">
        <v>4294</v>
      </c>
      <c r="B22">
        <v>135142.59</v>
      </c>
      <c r="D22" s="2" t="s">
        <v>3</v>
      </c>
      <c r="E22" t="s">
        <v>4284</v>
      </c>
      <c r="G22" s="2" t="s">
        <v>8</v>
      </c>
      <c r="H22" t="s">
        <v>4285</v>
      </c>
      <c r="I22" t="s">
        <v>4284</v>
      </c>
    </row>
    <row r="23" spans="1:11" x14ac:dyDescent="0.25">
      <c r="A23" s="3" t="s">
        <v>4295</v>
      </c>
      <c r="B23">
        <v>124313.23000000005</v>
      </c>
      <c r="D23" s="3" t="s">
        <v>41</v>
      </c>
      <c r="E23">
        <v>195620.11000000002</v>
      </c>
      <c r="G23" s="3" t="s">
        <v>35</v>
      </c>
      <c r="H23">
        <v>759</v>
      </c>
      <c r="I23">
        <v>276396.20999999996</v>
      </c>
      <c r="J23" s="5">
        <f>SUM(K23)/SUM($K$23:$K$27)</f>
        <v>0.21853615047055966</v>
      </c>
      <c r="K23">
        <v>276396.20999999996</v>
      </c>
    </row>
    <row r="24" spans="1:11" x14ac:dyDescent="0.25">
      <c r="A24" s="3" t="s">
        <v>4296</v>
      </c>
      <c r="B24">
        <v>123840.92999999995</v>
      </c>
      <c r="D24" s="3" t="s">
        <v>48</v>
      </c>
      <c r="E24">
        <v>195612.60999999996</v>
      </c>
      <c r="G24" s="3" t="s">
        <v>90</v>
      </c>
      <c r="H24">
        <v>724</v>
      </c>
      <c r="I24">
        <v>256328.15000000002</v>
      </c>
      <c r="J24" s="5">
        <f>SUM(K24)/SUM($K$23:$K$27)</f>
        <v>0.2026690856515008</v>
      </c>
      <c r="K24">
        <v>256328.15000000002</v>
      </c>
    </row>
    <row r="25" spans="1:11" x14ac:dyDescent="0.25">
      <c r="A25" s="3" t="s">
        <v>4290</v>
      </c>
      <c r="B25">
        <v>112344.77999999998</v>
      </c>
      <c r="D25" s="3" t="s">
        <v>58</v>
      </c>
      <c r="E25">
        <v>192126.55999999994</v>
      </c>
      <c r="G25" s="3" t="s">
        <v>50</v>
      </c>
      <c r="H25">
        <v>690</v>
      </c>
      <c r="I25">
        <v>242600.31999999998</v>
      </c>
      <c r="J25" s="5">
        <f>SUM(K25)/SUM($K$23:$K$27)</f>
        <v>0.19181500367073026</v>
      </c>
      <c r="K25">
        <v>242600.31999999998</v>
      </c>
    </row>
    <row r="26" spans="1:11" x14ac:dyDescent="0.25">
      <c r="A26" s="3" t="s">
        <v>4297</v>
      </c>
      <c r="B26">
        <v>109186.05</v>
      </c>
      <c r="D26" s="3" t="s">
        <v>32</v>
      </c>
      <c r="E26">
        <v>186568.95000000007</v>
      </c>
      <c r="G26" s="3" t="s">
        <v>43</v>
      </c>
      <c r="H26">
        <v>682</v>
      </c>
      <c r="I26">
        <v>243277.70000000013</v>
      </c>
      <c r="J26" s="5">
        <f>SUM(K26)/SUM($K$23:$K$27)</f>
        <v>0.19235058271360417</v>
      </c>
      <c r="K26">
        <v>243277.70000000013</v>
      </c>
    </row>
    <row r="27" spans="1:11" x14ac:dyDescent="0.25">
      <c r="A27" s="3" t="s">
        <v>4300</v>
      </c>
      <c r="B27">
        <v>89834.820000000022</v>
      </c>
      <c r="D27" s="3" t="s">
        <v>16</v>
      </c>
      <c r="E27">
        <v>175651.40999999997</v>
      </c>
      <c r="G27" s="3" t="s">
        <v>19</v>
      </c>
      <c r="H27">
        <v>680</v>
      </c>
      <c r="I27">
        <v>246159.57999999987</v>
      </c>
      <c r="J27" s="5">
        <f>SUM(K27)/SUM($K$23:$K$27)</f>
        <v>0.19462917749360512</v>
      </c>
      <c r="K27">
        <v>246159.57999999987</v>
      </c>
    </row>
    <row r="28" spans="1:11" x14ac:dyDescent="0.25">
      <c r="A28" s="3" t="s">
        <v>4293</v>
      </c>
      <c r="B28">
        <v>86343.210000000036</v>
      </c>
      <c r="D28" s="3" t="s">
        <v>74</v>
      </c>
      <c r="E28">
        <v>167459.93</v>
      </c>
      <c r="G28" s="3" t="s">
        <v>4287</v>
      </c>
      <c r="H28">
        <v>3535</v>
      </c>
      <c r="I28">
        <v>1264761.9600000004</v>
      </c>
      <c r="K28" s="5"/>
    </row>
    <row r="29" spans="1:11" x14ac:dyDescent="0.25">
      <c r="A29" s="3" t="s">
        <v>4298</v>
      </c>
      <c r="B29">
        <v>85784.63999999997</v>
      </c>
      <c r="D29" s="3" t="s">
        <v>25</v>
      </c>
      <c r="E29">
        <v>151722.39000000001</v>
      </c>
    </row>
    <row r="30" spans="1:11" x14ac:dyDescent="0.25">
      <c r="A30" s="3" t="s">
        <v>4301</v>
      </c>
      <c r="B30">
        <v>82540.5</v>
      </c>
    </row>
    <row r="31" spans="1:11" x14ac:dyDescent="0.25">
      <c r="A31" s="3" t="s">
        <v>4289</v>
      </c>
      <c r="B31">
        <v>75493.430000000008</v>
      </c>
    </row>
    <row r="32" spans="1:11" x14ac:dyDescent="0.25">
      <c r="A32" s="3" t="s">
        <v>4299</v>
      </c>
      <c r="B32">
        <v>69321.650000000023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E8FF36-8A46-40D5-819A-1E3EC301AE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EDA_Summary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Genevieve Okeke</dc:creator>
  <cp:lastModifiedBy>Genevieve Okeke</cp:lastModifiedBy>
  <dcterms:created xsi:type="dcterms:W3CDTF">2026-08-20T10:56:04Z</dcterms:created>
  <dcterms:modified xsi:type="dcterms:W3CDTF">2026-08-25T22:34:13Z</dcterms:modified>
</cp:coreProperties>
</file>